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EVA\Videos\"/>
    </mc:Choice>
  </mc:AlternateContent>
  <xr:revisionPtr revIDLastSave="0" documentId="8_{68BA1FAA-94C5-477A-8488-B2F5CDDE9212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Dashboard" sheetId="1" r:id="rId1"/>
    <sheet name="6-Month Roadmap" sheetId="2" r:id="rId2"/>
    <sheet name="Daily Planner" sheetId="3" r:id="rId3"/>
    <sheet name="Weekly Planner" sheetId="4" r:id="rId4"/>
    <sheet name="Chart Data" sheetId="5" r:id="rId5"/>
    <sheet name="Resources &amp; Ideas" sheetId="6" r:id="rId6"/>
  </sheets>
  <definedNames>
    <definedName name="_xlnm.Print_Titles" localSheetId="1">'6-Month Roadmap'!$1:$1</definedName>
    <definedName name="_xlnm.Print_Titles" localSheetId="2">'Daily Planner'!$1:$1</definedName>
    <definedName name="_xlnm.Print_Titles" localSheetId="3">'Weekly Planner'!$1:$1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B5" i="4" s="1"/>
  <c r="B3" i="4"/>
  <c r="B7" i="5"/>
  <c r="B6" i="5"/>
  <c r="B5" i="5"/>
  <c r="B4" i="5"/>
  <c r="B3" i="5"/>
  <c r="B2" i="5"/>
  <c r="M3" i="4"/>
  <c r="M2" i="4"/>
  <c r="G7" i="1"/>
  <c r="E7" i="1"/>
  <c r="G6" i="1"/>
  <c r="E6" i="1"/>
  <c r="G5" i="1"/>
  <c r="E5" i="1"/>
  <c r="M5" i="4" l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M4" i="4"/>
  <c r="M7" i="4"/>
  <c r="M6" i="4"/>
  <c r="M8" i="4" l="1"/>
  <c r="M9" i="4" l="1"/>
  <c r="M10" i="4" l="1"/>
  <c r="M11" i="4" l="1"/>
  <c r="M12" i="4" l="1"/>
  <c r="M13" i="4" l="1"/>
  <c r="M14" i="4" l="1"/>
  <c r="M15" i="4" l="1"/>
  <c r="M16" i="4" l="1"/>
  <c r="M17" i="4" l="1"/>
  <c r="M18" i="4" l="1"/>
  <c r="M19" i="4" l="1"/>
  <c r="M20" i="4" l="1"/>
  <c r="M21" i="4" l="1"/>
  <c r="M22" i="4" l="1"/>
  <c r="M23" i="4" l="1"/>
  <c r="M24" i="4" l="1"/>
  <c r="M25" i="4" l="1"/>
  <c r="M26" i="4" l="1"/>
  <c r="M28" i="4" l="1"/>
  <c r="M27" i="4"/>
</calcChain>
</file>

<file path=xl/sharedStrings.xml><?xml version="1.0" encoding="utf-8"?>
<sst xmlns="http://schemas.openxmlformats.org/spreadsheetml/2006/main" count="1333" uniqueCount="216">
  <si>
    <t>MBA FRESHER — 6-MONTH HR CAREER LAUNCH PLANNER</t>
  </si>
  <si>
    <t>PROGRAM CONTEXT</t>
  </si>
  <si>
    <t>ROADMAP KPIs</t>
  </si>
  <si>
    <t>DAILY ACTIVITY KPIs</t>
  </si>
  <si>
    <t>🎯  Career Target</t>
  </si>
  <si>
    <t>First HR Role — Recruitment / HR Ops / HR Analytics track</t>
  </si>
  <si>
    <t>Months Planned</t>
  </si>
  <si>
    <t>Daily Entries</t>
  </si>
  <si>
    <t>📅  Program Start</t>
  </si>
  <si>
    <t>Completed Months</t>
  </si>
  <si>
    <t>Completed Days</t>
  </si>
  <si>
    <t>⏱️  Daily Target</t>
  </si>
  <si>
    <t>60 min/day (skill-building + practice + job search)</t>
  </si>
  <si>
    <t>Roadmap Progress</t>
  </si>
  <si>
    <t>Learning Minutes</t>
  </si>
  <si>
    <t>📈  VISUAL INSIGHTS</t>
  </si>
  <si>
    <t>🔁  PROCESS STAGES — LEARNING METHODOLOGY (repeated every topic)</t>
  </si>
  <si>
    <t>Learn</t>
  </si>
  <si>
    <t>Understand the concept</t>
  </si>
  <si>
    <t>Practice</t>
  </si>
  <si>
    <t>Work with sample data</t>
  </si>
  <si>
    <t>Apply</t>
  </si>
  <si>
    <t>Use it on HR use cases</t>
  </si>
  <si>
    <t>Build</t>
  </si>
  <si>
    <t>Create a project / dashboard</t>
  </si>
  <si>
    <t>Document</t>
  </si>
  <si>
    <t>Write the case study</t>
  </si>
  <si>
    <t>Showcase</t>
  </si>
  <si>
    <t>Add to portfolio / LinkedIn</t>
  </si>
  <si>
    <t>🎨  PHASE COLOUR LEGEND (used across every sheet)</t>
  </si>
  <si>
    <t>Phase 1 · Career Foundation</t>
  </si>
  <si>
    <t>Phase 2 · Excel + HR Operations</t>
  </si>
  <si>
    <t>Phase 3 · HR Analytics</t>
  </si>
  <si>
    <t>Phase 4 · Interview + Communication</t>
  </si>
  <si>
    <t>Phase 5 · Projects + AI</t>
  </si>
  <si>
    <t>Phase 6 · Job Search + Career Launch</t>
  </si>
  <si>
    <t>Month</t>
  </si>
  <si>
    <t>Phase</t>
  </si>
  <si>
    <t>Focus Area</t>
  </si>
  <si>
    <t>Key Topics</t>
  </si>
  <si>
    <t>Project / Output</t>
  </si>
  <si>
    <t>Target Hours</t>
  </si>
  <si>
    <t>Status</t>
  </si>
  <si>
    <t>Progress %</t>
  </si>
  <si>
    <t>Notes</t>
  </si>
  <si>
    <t>Month 1</t>
  </si>
  <si>
    <t>Phase 1</t>
  </si>
  <si>
    <t>Career Foundation</t>
  </si>
  <si>
    <t>HR domain landscape (TA, HRBP, C&amp;B, L&amp;D, HR Ops, HR Analytics); career goal-setting; personal SWOT; resume structure; LinkedIn basics; sector research</t>
  </si>
  <si>
    <t>Resume v1 + LinkedIn Profile + 90-Day Career Plan</t>
  </si>
  <si>
    <t>Not Started</t>
  </si>
  <si>
    <t>Month 2</t>
  </si>
  <si>
    <t>Phase 2</t>
  </si>
  <si>
    <t>Excel + HR Operations</t>
  </si>
  <si>
    <t>XLOOKUP/IF/SUMIFS, Pivot Tables &amp; Charts, Power Query basics; onboarding-to-exit lifecycle; attendance &amp; leave management; PF/ESI/PT basics; HRMS overview</t>
  </si>
  <si>
    <t>Employee Master Tracker + Attendance Dashboard + Onboarding Checklist</t>
  </si>
  <si>
    <t>Month 3</t>
  </si>
  <si>
    <t>Phase 3</t>
  </si>
  <si>
    <t>HR Analytics</t>
  </si>
  <si>
    <t>HR KPIs (attrition, headcount, cost-per-hire, tenure); data cleaning; dashboard design; Power BI/Excel dashboarding; DAX &amp; pivot basics</t>
  </si>
  <si>
    <t>HR Analytics Dashboard (Attrition &amp; Headcount)</t>
  </si>
  <si>
    <t>Month 4</t>
  </si>
  <si>
    <t>Phase 4</t>
  </si>
  <si>
    <t>Interview + Communication</t>
  </si>
  <si>
    <t>STAR method; common HR interview questions (recruitment, labour law, compensation); mock interviews &amp; group discussions; professional email &amp; policy writing; presentation skills</t>
  </si>
  <si>
    <t>STAR Story Bank + Mock Interview Log + Communication Portfolio</t>
  </si>
  <si>
    <t>Month 5</t>
  </si>
  <si>
    <t>Phase 5</t>
  </si>
  <si>
    <t>Projects + AI</t>
  </si>
  <si>
    <t>AI prompting for HR (JD writing, policy drafts, screening criteria); HR process automation (Forms + Sheets); project documentation &amp; case studies; portfolio assembly</t>
  </si>
  <si>
    <t>2 HR Case Studies + AI-Assisted Workflow Demo + Portfolio Doc</t>
  </si>
  <si>
    <t>Month 6</t>
  </si>
  <si>
    <t>Phase 6</t>
  </si>
  <si>
    <t>Job Search + Career Launch</t>
  </si>
  <si>
    <t>Job search strategy (Naukri/LinkedIn/referrals); networking &amp; outreach; salary negotiation; offer evaluation; application tracking; final resume/portfolio polish</t>
  </si>
  <si>
    <t>Job Application Tracker + Final Portfolio + Offer Comparison Sheet</t>
  </si>
  <si>
    <t>Date</t>
  </si>
  <si>
    <t>Day</t>
  </si>
  <si>
    <t>Month / Phase</t>
  </si>
  <si>
    <t>Planned Topic / Task</t>
  </si>
  <si>
    <t>Target (min)</t>
  </si>
  <si>
    <t>Actual (min)</t>
  </si>
  <si>
    <t>Learning / Output</t>
  </si>
  <si>
    <t>Monday</t>
  </si>
  <si>
    <t>HR domain research (TA/HRBP/C&amp;B/L&amp;D)</t>
  </si>
  <si>
    <t>Planned</t>
  </si>
  <si>
    <t>Tuesday</t>
  </si>
  <si>
    <t>Resume draft &amp; refinement</t>
  </si>
  <si>
    <t>Wednesday</t>
  </si>
  <si>
    <t>LinkedIn profile optimisation</t>
  </si>
  <si>
    <t>Thursday</t>
  </si>
  <si>
    <t>Personal SWOT &amp; goal setting</t>
  </si>
  <si>
    <t>Friday</t>
  </si>
  <si>
    <t>Industry / sector research</t>
  </si>
  <si>
    <t>Saturday</t>
  </si>
  <si>
    <t>90-Day Career Plan – build</t>
  </si>
  <si>
    <t>Sunday</t>
  </si>
  <si>
    <t>Weekly review + plan next week</t>
  </si>
  <si>
    <t>HR Ops: attendance &amp; leave management</t>
  </si>
  <si>
    <t>Statutory basics: PF / ESI / PT</t>
  </si>
  <si>
    <t>Project building / practical work</t>
  </si>
  <si>
    <t>Excel: Lookups &amp; IF/SUMIFS practice</t>
  </si>
  <si>
    <t>Excel: Pivot Tables &amp; Charts practice</t>
  </si>
  <si>
    <t>HR Ops: onboarding-to-exit lifecycle</t>
  </si>
  <si>
    <t>HR KPIs: attrition &amp; headcount metrics</t>
  </si>
  <si>
    <t>Data cleaning practice</t>
  </si>
  <si>
    <t>Dashboard design principles</t>
  </si>
  <si>
    <t>Power BI / Excel dashboard build</t>
  </si>
  <si>
    <t>DAX / pivot practice</t>
  </si>
  <si>
    <t>HR interview Q&amp;A practice</t>
  </si>
  <si>
    <t>Mock interview / GD practice</t>
  </si>
  <si>
    <t>Professional email &amp; policy writing</t>
  </si>
  <si>
    <t>Presentation skills practice</t>
  </si>
  <si>
    <t>Mock interview / project building</t>
  </si>
  <si>
    <t>STAR method – story building</t>
  </si>
  <si>
    <t>Project build / practical work</t>
  </si>
  <si>
    <t>Case study documentation</t>
  </si>
  <si>
    <t>Portfolio assembly</t>
  </si>
  <si>
    <t>AI prompting for HR – JD writing</t>
  </si>
  <si>
    <t>AI prompting – policy drafts</t>
  </si>
  <si>
    <t>HR process automation (Forms/Sheets)</t>
  </si>
  <si>
    <t>Job applications – targeted search</t>
  </si>
  <si>
    <t>Networking &amp; outreach</t>
  </si>
  <si>
    <t>Interview attendance / prep</t>
  </si>
  <si>
    <t>Application tracker update</t>
  </si>
  <si>
    <t>Salary negotiation / offer review</t>
  </si>
  <si>
    <t>Portfolio &amp; resume final polish</t>
  </si>
  <si>
    <t>Week</t>
  </si>
  <si>
    <t>Week Start</t>
  </si>
  <si>
    <t>Primary Focus</t>
  </si>
  <si>
    <t>Mon</t>
  </si>
  <si>
    <t>Tue</t>
  </si>
  <si>
    <t>Wed</t>
  </si>
  <si>
    <t>Thu</t>
  </si>
  <si>
    <t>Fri</t>
  </si>
  <si>
    <t>Sat</t>
  </si>
  <si>
    <t>Sun</t>
  </si>
  <si>
    <t>Weekly Goal</t>
  </si>
  <si>
    <t>Outcome</t>
  </si>
  <si>
    <t>Completion %</t>
  </si>
  <si>
    <t>Week 1</t>
  </si>
  <si>
    <t>Review</t>
  </si>
  <si>
    <t>Project</t>
  </si>
  <si>
    <t>Plan</t>
  </si>
  <si>
    <t>Complete Career Foundation weekly target</t>
  </si>
  <si>
    <t>Week 2</t>
  </si>
  <si>
    <t>Week 3</t>
  </si>
  <si>
    <t>Week 4</t>
  </si>
  <si>
    <t>Week 5</t>
  </si>
  <si>
    <t>Week 6</t>
  </si>
  <si>
    <t>Complete Excel + HR Operations weekly target</t>
  </si>
  <si>
    <t>Week 7</t>
  </si>
  <si>
    <t>Week 8</t>
  </si>
  <si>
    <t>Week 9</t>
  </si>
  <si>
    <t>Week 10</t>
  </si>
  <si>
    <t>Complete HR Analytics weekly target</t>
  </si>
  <si>
    <t>Week 11</t>
  </si>
  <si>
    <t>Week 12</t>
  </si>
  <si>
    <t>Week 13</t>
  </si>
  <si>
    <t>Week 14</t>
  </si>
  <si>
    <t>Week 15</t>
  </si>
  <si>
    <t>Complete Interview + Communication weekly target</t>
  </si>
  <si>
    <t>Week 16</t>
  </si>
  <si>
    <t>Week 17</t>
  </si>
  <si>
    <t>Week 18</t>
  </si>
  <si>
    <t>Week 19</t>
  </si>
  <si>
    <t>Complete Projects + AI weekly target</t>
  </si>
  <si>
    <t>Week 20</t>
  </si>
  <si>
    <t>Week 21</t>
  </si>
  <si>
    <t>Week 22</t>
  </si>
  <si>
    <t>Week 23</t>
  </si>
  <si>
    <t>Complete Job Search + Career Launch weekly target</t>
  </si>
  <si>
    <t>Week 24</t>
  </si>
  <si>
    <t>Week 25</t>
  </si>
  <si>
    <t>Week 26</t>
  </si>
  <si>
    <t>Week 27</t>
  </si>
  <si>
    <t>Months</t>
  </si>
  <si>
    <t>Area</t>
  </si>
  <si>
    <t>What to Learn</t>
  </si>
  <si>
    <t>Practice Idea</t>
  </si>
  <si>
    <t>Project Evidence</t>
  </si>
  <si>
    <t>Recommended Frequency</t>
  </si>
  <si>
    <t>HR domains overview; career goal-setting frameworks</t>
  </si>
  <si>
    <t>Write your own career SWOT</t>
  </si>
  <si>
    <t>90-Day Career Plan document</t>
  </si>
  <si>
    <t>2 days/week</t>
  </si>
  <si>
    <t>Excel</t>
  </si>
  <si>
    <t>XLOOKUP, SUMIFS, Pivot Tables, Power Query</t>
  </si>
  <si>
    <t>Clean &amp; analyse a sample HR dataset</t>
  </si>
  <si>
    <t>Employee Master Tracker</t>
  </si>
  <si>
    <t>3 days/week</t>
  </si>
  <si>
    <t>HR Operations</t>
  </si>
  <si>
    <t>Onboarding-to-exit lifecycle; attendance/leave; PF/ESI/PT basics</t>
  </si>
  <si>
    <t>Build an onboarding checklist</t>
  </si>
  <si>
    <t>HR Operations SOP Pack</t>
  </si>
  <si>
    <t>HR KPIs; dashboard design; Power BI / Excel dashboards</t>
  </si>
  <si>
    <t>Build an attrition &amp; headcount dashboard</t>
  </si>
  <si>
    <t>HR Analytics Dashboard</t>
  </si>
  <si>
    <t>Interview Prep</t>
  </si>
  <si>
    <t>STAR method; common HR interview questions; GD technique</t>
  </si>
  <si>
    <t>Record one mock interview weekly</t>
  </si>
  <si>
    <t>STAR Story Bank</t>
  </si>
  <si>
    <t>Communication</t>
  </si>
  <si>
    <t>Professional email etiquette; policy writing; presentations</t>
  </si>
  <si>
    <t>Rewrite a real HR email or policy</t>
  </si>
  <si>
    <t>Communication Portfolio</t>
  </si>
  <si>
    <t>1 day/week</t>
  </si>
  <si>
    <t>AI prompting for HR tasks; process automation (Forms/Sheets)</t>
  </si>
  <si>
    <t>Automate one recurring HR task</t>
  </si>
  <si>
    <t>AI-Assisted Workflow Demo</t>
  </si>
  <si>
    <t>Job Search</t>
  </si>
  <si>
    <t>Job search strategy; networking; salary negotiation</t>
  </si>
  <si>
    <t>Apply to 5 roles/week + track outcomes</t>
  </si>
  <si>
    <t>Job Application Tracker</t>
  </si>
  <si>
    <t>Daily</t>
  </si>
  <si>
    <t>CAREER FOUNDATION · EXCEL + HR OPS · HR ANALYTICS · INTERVIEW + COMMUNICATION · PROJECTS + AI · JOB SEARCH   |   01 Sep 2026 →  28 Feb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</si>
</sst>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\ yyyy"/>
    <numFmt numFmtId="165" formatCode="0.0\%"/>
    <numFmt numFmtId="166" formatCode="#,##0&quot; min&quot;"/>
    <numFmt numFmtId="167" formatCode="0\%"/>
    <numFmt numFmtId="168" formatCode="yyyy\-mm\-dd"/>
    <numFmt numFmtId="169" formatCode="0.0%"/>
  </numFmts>
  <fonts count="18" x14ac:knownFonts="1">
    <font>
      <sz val="11"/>
      <color theme="1"/>
      <name val="Calibri"/>
      <family val="2"/>
      <charset val="1"/>
    </font>
    <font>
      <b/>
      <sz val="19"/>
      <color rgb="FFFFFFFF"/>
      <name val="Calibri"/>
      <charset val="1"/>
    </font>
    <font>
      <b/>
      <i/>
      <sz val="10.5"/>
      <color rgb="FFFFFFFF"/>
      <name val="Calibri"/>
      <charset val="1"/>
    </font>
    <font>
      <b/>
      <sz val="10.5"/>
      <color rgb="FFFFFFFF"/>
      <name val="Calibri"/>
      <charset val="1"/>
    </font>
    <font>
      <b/>
      <sz val="9.5"/>
      <color rgb="FF5B5470"/>
      <name val="Calibri"/>
      <charset val="1"/>
    </font>
    <font>
      <b/>
      <sz val="11"/>
      <color rgb="FF5A189A"/>
      <name val="Calibri"/>
      <charset val="1"/>
    </font>
    <font>
      <b/>
      <sz val="13"/>
      <color rgb="FF7C3AED"/>
      <name val="Calibri"/>
      <charset val="1"/>
    </font>
    <font>
      <b/>
      <sz val="13"/>
      <color rgb="FF0D9488"/>
      <name val="Calibri"/>
      <charset val="1"/>
    </font>
    <font>
      <b/>
      <sz val="12"/>
      <color rgb="FF5A189A"/>
      <name val="Calibri"/>
      <charset val="1"/>
    </font>
    <font>
      <b/>
      <sz val="12"/>
      <color rgb="FFFFFFFF"/>
      <name val="Calibri"/>
      <charset val="1"/>
    </font>
    <font>
      <b/>
      <sz val="13"/>
      <color rgb="FF241B36"/>
      <name val="Calibri"/>
      <charset val="1"/>
    </font>
    <font>
      <b/>
      <sz val="11"/>
      <color rgb="FF241B36"/>
      <name val="Calibri"/>
      <charset val="1"/>
    </font>
    <font>
      <sz val="10.5"/>
      <color rgb="FF241B36"/>
      <name val="Calibri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241B36"/>
      <name val="Calibri"/>
      <charset val="1"/>
    </font>
    <font>
      <b/>
      <sz val="10.5"/>
      <color rgb="FF241B36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3C096C"/>
        <bgColor rgb="FF5A189A"/>
      </patternFill>
    </fill>
    <fill>
      <patternFill patternType="solid">
        <fgColor rgb="FF5A189A"/>
        <bgColor rgb="FF3C096C"/>
      </patternFill>
    </fill>
    <fill>
      <patternFill patternType="solid">
        <fgColor rgb="FF7B2CBF"/>
        <bgColor rgb="FF7C3AED"/>
      </patternFill>
    </fill>
    <fill>
      <patternFill patternType="solid">
        <fgColor rgb="FF7C3AED"/>
        <bgColor rgb="FF7B2CBF"/>
      </patternFill>
    </fill>
    <fill>
      <patternFill patternType="solid">
        <fgColor rgb="FF0D9488"/>
        <bgColor rgb="FF16A34A"/>
      </patternFill>
    </fill>
    <fill>
      <patternFill patternType="solid">
        <fgColor rgb="FFF5EEFF"/>
        <bgColor rgb="FFF0ECFA"/>
      </patternFill>
    </fill>
    <fill>
      <patternFill patternType="solid">
        <fgColor rgb="FFFFFFFF"/>
        <bgColor rgb="FFF9F9F9"/>
      </patternFill>
    </fill>
    <fill>
      <patternFill patternType="solid">
        <fgColor rgb="FFE0AAFF"/>
        <bgColor rgb="FFFF99CC"/>
      </patternFill>
    </fill>
    <fill>
      <patternFill patternType="solid">
        <fgColor rgb="FFC77DFF"/>
        <bgColor rgb="FFE0AAFF"/>
      </patternFill>
    </fill>
    <fill>
      <patternFill patternType="solid">
        <fgColor rgb="FF9D4EDD"/>
        <bgColor rgb="FF7C3AED"/>
      </patternFill>
    </fill>
    <fill>
      <patternFill patternType="solid">
        <fgColor rgb="FF2563EB"/>
        <bgColor rgb="FF0066CC"/>
      </patternFill>
    </fill>
    <fill>
      <patternFill patternType="solid">
        <fgColor rgb="FFEA580C"/>
        <bgColor rgb="FFEF4444"/>
      </patternFill>
    </fill>
    <fill>
      <patternFill patternType="solid">
        <fgColor rgb="FFDB2777"/>
        <bgColor rgb="FFEF4444"/>
      </patternFill>
    </fill>
    <fill>
      <patternFill patternType="solid">
        <fgColor rgb="FF16A34A"/>
        <bgColor rgb="FF0D9488"/>
      </patternFill>
    </fill>
  </fills>
  <borders count="10">
    <border>
      <left/>
      <right/>
      <top/>
      <bottom/>
      <diagonal/>
    </border>
    <border>
      <left style="medium">
        <color rgb="FF5A189A"/>
      </left>
      <right/>
      <top/>
      <bottom/>
      <diagonal/>
    </border>
    <border>
      <left/>
      <right style="thin">
        <color rgb="FFE4DEF2"/>
      </right>
      <top/>
      <bottom/>
      <diagonal/>
    </border>
    <border>
      <left style="medium">
        <color rgb="FF7C3AED"/>
      </left>
      <right/>
      <top/>
      <bottom/>
      <diagonal/>
    </border>
    <border>
      <left style="medium">
        <color rgb="FF0D9488"/>
      </left>
      <right/>
      <top/>
      <bottom/>
      <diagonal/>
    </border>
    <border>
      <left style="thin">
        <color rgb="FFD8D2E8"/>
      </left>
      <right style="thin">
        <color rgb="FFD8D2E8"/>
      </right>
      <top style="thin">
        <color rgb="FFD8D2E8"/>
      </top>
      <bottom style="thin">
        <color rgb="FFD8D2E8"/>
      </bottom>
      <diagonal/>
    </border>
    <border>
      <left style="thin">
        <color rgb="FFD8D2E8"/>
      </left>
      <right/>
      <top style="thin">
        <color rgb="FFD8D2E8"/>
      </top>
      <bottom style="thin">
        <color rgb="FFD8D2E8"/>
      </bottom>
      <diagonal/>
    </border>
    <border>
      <left/>
      <right/>
      <top/>
      <bottom style="medium">
        <color rgb="FF9D4EDD"/>
      </bottom>
      <diagonal/>
    </border>
    <border>
      <left style="thin">
        <color rgb="FFF0ECFA"/>
      </left>
      <right style="thin">
        <color rgb="FFF0ECFA"/>
      </right>
      <top/>
      <bottom style="thin">
        <color rgb="FFE4DEF2"/>
      </bottom>
      <diagonal/>
    </border>
    <border>
      <left/>
      <right/>
      <top/>
      <bottom style="thin">
        <color rgb="FFEDE9F7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7" borderId="1" xfId="0" applyFont="1" applyFill="1" applyBorder="1" applyAlignment="1">
      <alignment horizontal="left" vertical="center" indent="1"/>
    </xf>
    <xf numFmtId="0" fontId="4" fillId="7" borderId="3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left" vertical="center" indent="1"/>
    </xf>
    <xf numFmtId="165" fontId="6" fillId="8" borderId="2" xfId="0" applyNumberFormat="1" applyFont="1" applyFill="1" applyBorder="1" applyAlignment="1">
      <alignment horizontal="center" vertical="center"/>
    </xf>
    <xf numFmtId="166" fontId="7" fillId="8" borderId="2" xfId="0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left" vertical="top" wrapText="1"/>
    </xf>
    <xf numFmtId="167" fontId="12" fillId="8" borderId="8" xfId="0" applyNumberFormat="1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left" vertical="top" wrapText="1"/>
    </xf>
    <xf numFmtId="167" fontId="12" fillId="7" borderId="8" xfId="0" applyNumberFormat="1" applyFont="1" applyFill="1" applyBorder="1" applyAlignment="1">
      <alignment horizontal="center" vertical="center" wrapText="1"/>
    </xf>
    <xf numFmtId="168" fontId="16" fillId="8" borderId="9" xfId="0" applyNumberFormat="1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left" vertical="top" wrapText="1"/>
    </xf>
    <xf numFmtId="168" fontId="16" fillId="7" borderId="9" xfId="0" applyNumberFormat="1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left" vertical="top" wrapText="1"/>
    </xf>
    <xf numFmtId="0" fontId="14" fillId="12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14" fillId="15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left" vertical="center" wrapText="1"/>
    </xf>
    <xf numFmtId="169" fontId="16" fillId="8" borderId="9" xfId="0" applyNumberFormat="1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left" vertical="center" wrapText="1"/>
    </xf>
    <xf numFmtId="169" fontId="16" fillId="7" borderId="9" xfId="0" applyNumberFormat="1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13" borderId="0" xfId="0" applyFont="1" applyFill="1" applyAlignment="1">
      <alignment horizontal="left" vertical="center" indent="1"/>
    </xf>
    <xf numFmtId="0" fontId="3" fillId="14" borderId="0" xfId="0" applyFont="1" applyFill="1" applyAlignment="1">
      <alignment horizontal="left" vertical="center" indent="1"/>
    </xf>
    <xf numFmtId="0" fontId="3" fillId="15" borderId="0" xfId="0" applyFont="1" applyFill="1" applyAlignment="1">
      <alignment horizontal="left" vertical="center" inden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left" vertical="top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left" vertical="top" wrapText="1"/>
    </xf>
    <xf numFmtId="0" fontId="15" fillId="12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 indent="1"/>
    </xf>
    <xf numFmtId="0" fontId="12" fillId="8" borderId="6" xfId="0" applyFont="1" applyFill="1" applyBorder="1" applyAlignment="1">
      <alignment horizontal="left" vertical="center" indent="1"/>
    </xf>
    <xf numFmtId="0" fontId="14" fillId="2" borderId="6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11" fillId="10" borderId="6" xfId="0" applyFont="1" applyFill="1" applyBorder="1" applyAlignment="1">
      <alignment horizontal="left" vertical="center" indent="1"/>
    </xf>
    <xf numFmtId="0" fontId="14" fillId="11" borderId="6" xfId="0" applyFont="1" applyFill="1" applyBorder="1" applyAlignment="1">
      <alignment horizontal="left" vertical="center" indent="1"/>
    </xf>
    <xf numFmtId="0" fontId="14" fillId="4" borderId="6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wrapText="1" indent="1"/>
    </xf>
    <xf numFmtId="0" fontId="11" fillId="9" borderId="6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34">
    <dxf>
      <font>
        <b/>
        <sz val="11"/>
        <color rgb="FFFFFFFF"/>
        <name val="Calibri"/>
        <charset val="1"/>
      </font>
      <fill>
        <patternFill>
          <bgColor rgb="FF16A34A"/>
        </patternFill>
      </fill>
    </dxf>
    <dxf>
      <font>
        <b/>
        <sz val="11"/>
        <color rgb="FFFFFFFF"/>
        <name val="Calibri"/>
        <charset val="1"/>
      </font>
      <fill>
        <patternFill>
          <bgColor rgb="FFDB2777"/>
        </patternFill>
      </fill>
    </dxf>
    <dxf>
      <font>
        <b/>
        <sz val="11"/>
        <color rgb="FFFFFFFF"/>
        <name val="Calibri"/>
        <charset val="1"/>
      </font>
      <fill>
        <patternFill>
          <bgColor rgb="FFEA580C"/>
        </patternFill>
      </fill>
    </dxf>
    <dxf>
      <font>
        <b/>
        <sz val="11"/>
        <color rgb="FFFFFFFF"/>
        <name val="Calibri"/>
        <charset val="1"/>
      </font>
      <fill>
        <patternFill>
          <bgColor rgb="FFEA580C"/>
        </patternFill>
      </fill>
    </dxf>
    <dxf>
      <font>
        <b/>
        <sz val="11"/>
        <color rgb="FFFFFFFF"/>
        <name val="Calibri"/>
        <charset val="1"/>
      </font>
      <fill>
        <patternFill>
          <bgColor rgb="FF7C3AED"/>
        </patternFill>
      </fill>
    </dxf>
    <dxf>
      <font>
        <b/>
        <sz val="11"/>
        <color rgb="FFFFFFFF"/>
        <name val="Calibri"/>
        <charset val="1"/>
      </font>
      <fill>
        <patternFill>
          <bgColor rgb="FF0D9488"/>
        </patternFill>
      </fill>
    </dxf>
    <dxf>
      <font>
        <b/>
        <sz val="11"/>
        <color rgb="FFFFFFFF"/>
        <name val="Calibri"/>
        <charset val="1"/>
      </font>
      <fill>
        <patternFill>
          <bgColor rgb="FF0D9488"/>
        </patternFill>
      </fill>
    </dxf>
    <dxf>
      <font>
        <b/>
        <sz val="11"/>
        <color rgb="FFFFFFFF"/>
        <name val="Calibri"/>
        <charset val="1"/>
      </font>
      <fill>
        <patternFill>
          <bgColor rgb="FF2563EB"/>
        </patternFill>
      </fill>
    </dxf>
    <dxf>
      <font>
        <b/>
        <sz val="11"/>
        <color rgb="FFFFFFFF"/>
        <name val="Calibri"/>
        <charset val="1"/>
      </font>
      <fill>
        <patternFill>
          <bgColor rgb="FF16A34A"/>
        </patternFill>
      </fill>
    </dxf>
    <dxf>
      <font>
        <b/>
        <sz val="11"/>
        <color rgb="FFFFFFFF"/>
        <name val="Calibri"/>
        <charset val="1"/>
      </font>
      <fill>
        <patternFill>
          <bgColor rgb="FFDB2777"/>
        </patternFill>
      </fill>
    </dxf>
    <dxf>
      <font>
        <b/>
        <sz val="11"/>
        <color rgb="FFFFFFFF"/>
        <name val="Calibri"/>
        <charset val="1"/>
      </font>
      <fill>
        <patternFill>
          <bgColor rgb="FFEA580C"/>
        </patternFill>
      </fill>
    </dxf>
    <dxf>
      <font>
        <b/>
        <sz val="11"/>
        <color rgb="FFFFFFFF"/>
        <name val="Calibri"/>
        <charset val="1"/>
      </font>
      <fill>
        <patternFill>
          <bgColor rgb="FF7C3AED"/>
        </patternFill>
      </fill>
    </dxf>
    <dxf>
      <font>
        <b/>
        <sz val="11"/>
        <color rgb="FFFFFFFF"/>
        <name val="Calibri"/>
        <charset val="1"/>
      </font>
      <fill>
        <patternFill>
          <bgColor rgb="FF0D9488"/>
        </patternFill>
      </fill>
    </dxf>
    <dxf>
      <font>
        <b/>
        <sz val="11"/>
        <color rgb="FFFFFFFF"/>
        <name val="Calibri"/>
        <charset val="1"/>
      </font>
      <fill>
        <patternFill>
          <bgColor rgb="FF2563EB"/>
        </patternFill>
      </fill>
    </dxf>
    <dxf>
      <font>
        <b/>
        <sz val="11"/>
        <color rgb="FFFFFFFF"/>
        <name val="Calibri"/>
        <charset val="1"/>
      </font>
      <fill>
        <patternFill>
          <bgColor rgb="FFEF4444"/>
        </patternFill>
      </fill>
    </dxf>
    <dxf>
      <font>
        <b/>
        <sz val="11"/>
        <color rgb="FFFFFFFF"/>
        <name val="Calibri"/>
        <charset val="1"/>
      </font>
      <fill>
        <patternFill>
          <bgColor rgb="FF22C55E"/>
        </patternFill>
      </fill>
    </dxf>
    <dxf>
      <font>
        <b/>
        <sz val="11"/>
        <color rgb="FFFFFFFF"/>
        <name val="Calibri"/>
        <charset val="1"/>
      </font>
      <fill>
        <patternFill>
          <bgColor rgb="FFF59E0B"/>
        </patternFill>
      </fill>
    </dxf>
    <dxf>
      <font>
        <b/>
        <sz val="11"/>
        <color rgb="FFFFFFFF"/>
        <name val="Calibri"/>
        <charset val="1"/>
      </font>
      <fill>
        <patternFill>
          <bgColor rgb="FF94A3B8"/>
        </patternFill>
      </fill>
    </dxf>
    <dxf>
      <font>
        <b/>
        <sz val="11"/>
        <color rgb="FFFFFFFF"/>
        <name val="Calibri"/>
        <charset val="1"/>
      </font>
      <fill>
        <patternFill>
          <bgColor rgb="FF16A34A"/>
        </patternFill>
      </fill>
    </dxf>
    <dxf>
      <font>
        <b/>
        <sz val="11"/>
        <color rgb="FFFFFFFF"/>
        <name val="Calibri"/>
        <charset val="1"/>
      </font>
      <fill>
        <patternFill>
          <bgColor rgb="FFDB2777"/>
        </patternFill>
      </fill>
    </dxf>
    <dxf>
      <font>
        <b/>
        <sz val="11"/>
        <color rgb="FFFFFFFF"/>
        <name val="Calibri"/>
        <charset val="1"/>
      </font>
      <fill>
        <patternFill>
          <bgColor rgb="FFEA580C"/>
        </patternFill>
      </fill>
    </dxf>
    <dxf>
      <font>
        <b/>
        <sz val="11"/>
        <color rgb="FFFFFFFF"/>
        <name val="Calibri"/>
        <charset val="1"/>
      </font>
      <fill>
        <patternFill>
          <bgColor rgb="FF7C3AED"/>
        </patternFill>
      </fill>
    </dxf>
    <dxf>
      <font>
        <b/>
        <sz val="11"/>
        <color rgb="FFFFFFFF"/>
        <name val="Calibri"/>
        <charset val="1"/>
      </font>
      <fill>
        <patternFill>
          <bgColor rgb="FF0D9488"/>
        </patternFill>
      </fill>
    </dxf>
    <dxf>
      <font>
        <b/>
        <sz val="11"/>
        <color rgb="FFFFFFFF"/>
        <name val="Calibri"/>
        <charset val="1"/>
      </font>
      <fill>
        <patternFill>
          <bgColor rgb="FF2563EB"/>
        </patternFill>
      </fill>
    </dxf>
    <dxf>
      <font>
        <b/>
        <sz val="11"/>
        <color rgb="FFFFFFFF"/>
        <name val="Calibri"/>
        <charset val="1"/>
      </font>
      <fill>
        <patternFill>
          <bgColor rgb="FFEF4444"/>
        </patternFill>
      </fill>
    </dxf>
    <dxf>
      <font>
        <b/>
        <sz val="11"/>
        <color rgb="FFFFFFFF"/>
        <name val="Calibri"/>
        <charset val="1"/>
      </font>
      <fill>
        <patternFill>
          <bgColor rgb="FF22C55E"/>
        </patternFill>
      </fill>
    </dxf>
    <dxf>
      <font>
        <b/>
        <sz val="11"/>
        <color rgb="FFFFFFFF"/>
        <name val="Calibri"/>
        <charset val="1"/>
      </font>
      <fill>
        <patternFill>
          <bgColor rgb="FFF59E0B"/>
        </patternFill>
      </fill>
    </dxf>
    <dxf>
      <font>
        <b/>
        <sz val="11"/>
        <color rgb="FFFFFFFF"/>
        <name val="Calibri"/>
        <charset val="1"/>
      </font>
      <fill>
        <patternFill>
          <bgColor rgb="FF94A3B8"/>
        </patternFill>
      </fill>
    </dxf>
    <dxf>
      <font>
        <b/>
        <sz val="11"/>
        <color rgb="FFFFFFFF"/>
        <name val="Calibri"/>
        <charset val="1"/>
      </font>
      <fill>
        <patternFill>
          <bgColor rgb="FF16A34A"/>
        </patternFill>
      </fill>
    </dxf>
    <dxf>
      <font>
        <b/>
        <sz val="11"/>
        <color rgb="FFFFFFFF"/>
        <name val="Calibri"/>
        <charset val="1"/>
      </font>
      <fill>
        <patternFill>
          <bgColor rgb="FFDB2777"/>
        </patternFill>
      </fill>
    </dxf>
    <dxf>
      <font>
        <b/>
        <sz val="11"/>
        <color rgb="FFFFFFFF"/>
        <name val="Calibri"/>
        <charset val="1"/>
      </font>
      <fill>
        <patternFill>
          <bgColor rgb="FFEA580C"/>
        </patternFill>
      </fill>
    </dxf>
    <dxf>
      <font>
        <b/>
        <sz val="11"/>
        <color rgb="FFFFFFFF"/>
        <name val="Calibri"/>
        <charset val="1"/>
      </font>
      <fill>
        <patternFill>
          <bgColor rgb="FF7C3AED"/>
        </patternFill>
      </fill>
    </dxf>
    <dxf>
      <font>
        <b/>
        <sz val="11"/>
        <color rgb="FFFFFFFF"/>
        <name val="Calibri"/>
        <charset val="1"/>
      </font>
      <fill>
        <patternFill>
          <bgColor rgb="FF0D9488"/>
        </patternFill>
      </fill>
    </dxf>
    <dxf>
      <font>
        <b/>
        <sz val="11"/>
        <color rgb="FFFFFFFF"/>
        <name val="Calibri"/>
        <charset val="1"/>
      </font>
      <fill>
        <patternFill>
          <bgColor rgb="FF2563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A189A"/>
      <rgbColor rgb="FF0D9488"/>
      <rgbColor rgb="FFD9D9D9"/>
      <rgbColor rgb="FF878787"/>
      <rgbColor rgb="FFC77DFF"/>
      <rgbColor rgb="FF7B2CBF"/>
      <rgbColor rgb="FFF9F9F9"/>
      <rgbColor rgb="FFF0ECFA"/>
      <rgbColor rgb="FF3C096C"/>
      <rgbColor rgb="FFEF4444"/>
      <rgbColor rgb="FF0066CC"/>
      <rgbColor rgb="FFD8D2E8"/>
      <rgbColor rgb="FF000080"/>
      <rgbColor rgb="FFFF00FF"/>
      <rgbColor rgb="FFFFFF00"/>
      <rgbColor rgb="FF00FFFF"/>
      <rgbColor rgb="FF9D4EDD"/>
      <rgbColor rgb="FF800000"/>
      <rgbColor rgb="FF4F81BD"/>
      <rgbColor rgb="FF0000FF"/>
      <rgbColor rgb="FF00CCFF"/>
      <rgbColor rgb="FFEDE9F7"/>
      <rgbColor rgb="FFF5EEFF"/>
      <rgbColor rgb="FFFFFF99"/>
      <rgbColor rgb="FF99CCFF"/>
      <rgbColor rgb="FFFF99CC"/>
      <rgbColor rgb="FFE0AAFF"/>
      <rgbColor rgb="FFE4DEF2"/>
      <rgbColor rgb="FF2563EB"/>
      <rgbColor rgb="FF22C55E"/>
      <rgbColor rgb="FF99CC00"/>
      <rgbColor rgb="FFFFCC00"/>
      <rgbColor rgb="FFF59E0B"/>
      <rgbColor rgb="FFEA580C"/>
      <rgbColor rgb="FF5B5470"/>
      <rgbColor rgb="FF94A3B8"/>
      <rgbColor rgb="FF003366"/>
      <rgbColor rgb="FF16A34A"/>
      <rgbColor rgb="FF003300"/>
      <rgbColor rgb="FF333300"/>
      <rgbColor rgb="FF993300"/>
      <rgbColor rgb="FFDB2777"/>
      <rgbColor rgb="FF7C3AED"/>
      <rgbColor rgb="FF241B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6-Month Roadmap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'6-Month Roadmap'!$H$1</c:f>
              <c:strCache>
                <c:ptCount val="1"/>
                <c:pt idx="0">
                  <c:v>Progress %</c:v>
                </c:pt>
              </c:strCache>
            </c:strRef>
          </c:tx>
          <c:spPr>
            <a:solidFill>
              <a:srgbClr val="9D4ED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7BB-48FE-A05A-C8C9B891A028}"/>
              </c:ext>
            </c:extLst>
          </c:dPt>
          <c:dPt>
            <c:idx val="1"/>
            <c:invertIfNegative val="0"/>
            <c:bubble3D val="0"/>
            <c:spPr>
              <a:solidFill>
                <a:srgbClr val="0D948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7BB-48FE-A05A-C8C9B891A028}"/>
              </c:ext>
            </c:extLst>
          </c:dPt>
          <c:dPt>
            <c:idx val="2"/>
            <c:invertIfNegative val="0"/>
            <c:bubble3D val="0"/>
            <c:spPr>
              <a:solidFill>
                <a:srgbClr val="7C3AE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7BB-48FE-A05A-C8C9B891A028}"/>
              </c:ext>
            </c:extLst>
          </c:dPt>
          <c:dPt>
            <c:idx val="3"/>
            <c:invertIfNegative val="0"/>
            <c:bubble3D val="0"/>
            <c:spPr>
              <a:solidFill>
                <a:srgbClr val="EA580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17BB-48FE-A05A-C8C9B891A028}"/>
              </c:ext>
            </c:extLst>
          </c:dPt>
          <c:dPt>
            <c:idx val="4"/>
            <c:invertIfNegative val="0"/>
            <c:bubble3D val="0"/>
            <c:spPr>
              <a:solidFill>
                <a:srgbClr val="DB277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17BB-48FE-A05A-C8C9B891A028}"/>
              </c:ext>
            </c:extLst>
          </c:dPt>
          <c:dPt>
            <c:idx val="5"/>
            <c:invertIfNegative val="0"/>
            <c:bubble3D val="0"/>
            <c:spPr>
              <a:solidFill>
                <a:srgbClr val="16A3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17BB-48FE-A05A-C8C9B891A02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BB-48FE-A05A-C8C9B891A02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BB-48FE-A05A-C8C9B891A02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BB-48FE-A05A-C8C9B891A02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BB-48FE-A05A-C8C9B891A02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BB-48FE-A05A-C8C9B891A02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BB-48FE-A05A-C8C9B891A0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'6-Month Roadmap'!$A$2:$A$7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'6-Month Roadmap'!$H$2:$H$7</c:f>
              <c:numCache>
                <c:formatCode>0\%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BB-48FE-A05A-C8C9B891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8961827"/>
        <c:axId val="91021086"/>
      </c:barChart>
      <c:catAx>
        <c:axId val="289618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21086"/>
        <c:crosses val="autoZero"/>
        <c:auto val="1"/>
        <c:lblAlgn val="ctr"/>
        <c:lblOffset val="100"/>
        <c:noMultiLvlLbl val="0"/>
      </c:catAx>
      <c:valAx>
        <c:axId val="91021086"/>
        <c:scaling>
          <c:orientation val="minMax"/>
        </c:scaling>
        <c:delete val="0"/>
        <c:axPos val="l"/>
        <c:majorGridlines>
          <c:spPr>
            <a:ln w="9360">
              <a:solidFill>
                <a:srgbClr val="E4DE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Progress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618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Roadmap Phase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Months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563E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737-43AB-9649-041823FC2C84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737-43AB-9649-041823FC2C84}"/>
              </c:ext>
            </c:extLst>
          </c:dPt>
          <c:dPt>
            <c:idx val="2"/>
            <c:bubble3D val="0"/>
            <c:spPr>
              <a:solidFill>
                <a:srgbClr val="7C3AE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737-43AB-9649-041823FC2C84}"/>
              </c:ext>
            </c:extLst>
          </c:dPt>
          <c:dPt>
            <c:idx val="3"/>
            <c:bubble3D val="0"/>
            <c:spPr>
              <a:solidFill>
                <a:srgbClr val="EA580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737-43AB-9649-041823FC2C84}"/>
              </c:ext>
            </c:extLst>
          </c:dPt>
          <c:dPt>
            <c:idx val="4"/>
            <c:bubble3D val="0"/>
            <c:spPr>
              <a:solidFill>
                <a:srgbClr val="DB277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737-43AB-9649-041823FC2C84}"/>
              </c:ext>
            </c:extLst>
          </c:dPt>
          <c:dPt>
            <c:idx val="5"/>
            <c:bubble3D val="0"/>
            <c:spPr>
              <a:solidFill>
                <a:srgbClr val="16A3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737-43AB-9649-041823FC2C8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37-43AB-9649-041823FC2C8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37-43AB-9649-041823FC2C8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7-43AB-9649-041823FC2C8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37-43AB-9649-041823FC2C8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37-43AB-9649-041823FC2C8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37-43AB-9649-041823FC2C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Data'!$A$2:$A$7</c:f>
              <c:strCache>
                <c:ptCount val="6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  <c:pt idx="5">
                  <c:v>Phase 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37-43AB-9649-041823FC2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Learning Hour Targets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'6-Month Roadmap'!$F$1</c:f>
              <c:strCache>
                <c:ptCount val="1"/>
                <c:pt idx="0">
                  <c:v>Target Hours</c:v>
                </c:pt>
              </c:strCache>
            </c:strRef>
          </c:tx>
          <c:spPr>
            <a:ln w="28080">
              <a:solidFill>
                <a:srgbClr val="5A189A"/>
              </a:solidFill>
              <a:round/>
            </a:ln>
          </c:spPr>
          <c:marker>
            <c:symbol val="circle"/>
            <c:size val="7"/>
            <c:spPr>
              <a:solidFill>
                <a:srgbClr val="5A189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'6-Month Roadmap'!$A$2:$A$7</c:f>
              <c:strCache>
                <c:ptCount val="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</c:strCache>
            </c:strRef>
          </c:cat>
          <c:val>
            <c:numRef>
              <c:f>'6-Month Roadmap'!$F$2:$F$7</c:f>
              <c:numCache>
                <c:formatCode>General</c:formatCode>
                <c:ptCount val="6"/>
                <c:pt idx="0">
                  <c:v>22</c:v>
                </c:pt>
                <c:pt idx="1">
                  <c:v>28</c:v>
                </c:pt>
                <c:pt idx="2">
                  <c:v>28</c:v>
                </c:pt>
                <c:pt idx="3">
                  <c:v>22</c:v>
                </c:pt>
                <c:pt idx="4">
                  <c:v>26</c:v>
                </c:pt>
                <c:pt idx="5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15-4906-94A0-CD3BFF5C8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118060"/>
        <c:axId val="40408814"/>
      </c:lineChart>
      <c:catAx>
        <c:axId val="251180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08814"/>
        <c:crosses val="autoZero"/>
        <c:auto val="1"/>
        <c:lblAlgn val="ctr"/>
        <c:lblOffset val="100"/>
        <c:noMultiLvlLbl val="0"/>
      </c:catAx>
      <c:valAx>
        <c:axId val="40408814"/>
        <c:scaling>
          <c:orientation val="minMax"/>
        </c:scaling>
        <c:delete val="0"/>
        <c:axPos val="l"/>
        <c:majorGridlines>
          <c:spPr>
            <a:ln w="9360">
              <a:solidFill>
                <a:srgbClr val="E4DE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Target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180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48959</xdr:rowOff>
    </xdr:from>
    <xdr:to>
      <xdr:col>7</xdr:col>
      <xdr:colOff>829733</xdr:colOff>
      <xdr:row>25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297180</xdr:colOff>
      <xdr:row>5</xdr:row>
      <xdr:rowOff>209826</xdr:rowOff>
    </xdr:from>
    <xdr:to>
      <xdr:col>17</xdr:col>
      <xdr:colOff>296334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84667</xdr:rowOff>
    </xdr:from>
    <xdr:to>
      <xdr:col>7</xdr:col>
      <xdr:colOff>897465</xdr:colOff>
      <xdr:row>43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showGridLines="0" zoomScale="90" zoomScaleNormal="90" workbookViewId="0">
      <pane ySplit="2" topLeftCell="A3" activePane="bottomLeft" state="frozen"/>
      <selection pane="bottomLeft" activeCell="I31" sqref="I31"/>
    </sheetView>
  </sheetViews>
  <sheetFormatPr defaultColWidth="8.6640625" defaultRowHeight="14.4" x14ac:dyDescent="0.3"/>
  <cols>
    <col min="1" max="1" width="15" customWidth="1"/>
    <col min="2" max="3" width="20" customWidth="1"/>
    <col min="4" max="8" width="15" customWidth="1"/>
  </cols>
  <sheetData>
    <row r="1" spans="1:8" ht="37.5" customHeight="1" x14ac:dyDescent="0.3">
      <c r="A1" s="65" t="s">
        <v>0</v>
      </c>
      <c r="B1" s="65"/>
      <c r="C1" s="65"/>
      <c r="D1" s="65"/>
      <c r="E1" s="65"/>
      <c r="F1" s="65"/>
      <c r="G1" s="65"/>
      <c r="H1" s="65"/>
    </row>
    <row r="2" spans="1:8" ht="21.75" customHeight="1" x14ac:dyDescent="0.3">
      <c r="A2" s="66" t="s">
        <v>215</v>
      </c>
      <c r="B2" s="66"/>
      <c r="C2" s="66"/>
      <c r="D2" s="66"/>
      <c r="E2" s="66"/>
      <c r="F2" s="66"/>
      <c r="G2" s="66"/>
      <c r="H2" s="66"/>
    </row>
    <row r="3" spans="1:8" ht="7.5" customHeight="1" x14ac:dyDescent="0.3"/>
    <row r="4" spans="1:8" ht="19.5" customHeight="1" x14ac:dyDescent="0.3">
      <c r="A4" s="67" t="s">
        <v>1</v>
      </c>
      <c r="B4" s="67"/>
      <c r="D4" s="68" t="s">
        <v>2</v>
      </c>
      <c r="E4" s="68"/>
      <c r="F4" s="69" t="s">
        <v>3</v>
      </c>
      <c r="G4" s="69"/>
    </row>
    <row r="5" spans="1:8" ht="31.5" customHeight="1" x14ac:dyDescent="0.3">
      <c r="A5" s="1" t="s">
        <v>4</v>
      </c>
      <c r="B5" s="63" t="s">
        <v>5</v>
      </c>
      <c r="C5" s="63"/>
      <c r="D5" s="2" t="s">
        <v>6</v>
      </c>
      <c r="E5" s="3">
        <f>COUNTA('6-Month Roadmap'!A2:A7)</f>
        <v>6</v>
      </c>
      <c r="F5" s="4" t="s">
        <v>7</v>
      </c>
      <c r="G5" s="5">
        <f>COUNTA('Daily Planner'!A2:A182)</f>
        <v>181</v>
      </c>
    </row>
    <row r="6" spans="1:8" ht="17.399999999999999" x14ac:dyDescent="0.3">
      <c r="A6" s="1" t="s">
        <v>8</v>
      </c>
      <c r="B6" s="6">
        <v>46266</v>
      </c>
      <c r="D6" s="2" t="s">
        <v>9</v>
      </c>
      <c r="E6" s="3">
        <f>COUNTIF('6-Month Roadmap'!G2:G7,"Completed")</f>
        <v>0</v>
      </c>
      <c r="F6" s="4" t="s">
        <v>10</v>
      </c>
      <c r="G6" s="5">
        <f>COUNTIF('Daily Planner'!H2:H182,"Completed")</f>
        <v>0</v>
      </c>
    </row>
    <row r="7" spans="1:8" ht="31.5" customHeight="1" x14ac:dyDescent="0.3">
      <c r="A7" s="1" t="s">
        <v>11</v>
      </c>
      <c r="B7" s="63" t="s">
        <v>12</v>
      </c>
      <c r="C7" s="63"/>
      <c r="D7" s="2" t="s">
        <v>13</v>
      </c>
      <c r="E7" s="7">
        <f>AVERAGE('6-Month Roadmap'!H2:H7)</f>
        <v>0</v>
      </c>
      <c r="F7" s="4" t="s">
        <v>14</v>
      </c>
      <c r="G7" s="8">
        <f>SUM('Daily Planner'!G2:G182)</f>
        <v>0</v>
      </c>
    </row>
    <row r="8" spans="1:8" ht="7.5" customHeight="1" x14ac:dyDescent="0.3"/>
    <row r="9" spans="1:8" ht="19.5" customHeight="1" x14ac:dyDescent="0.3">
      <c r="A9" s="59" t="s">
        <v>15</v>
      </c>
      <c r="B9" s="59"/>
      <c r="C9" s="59"/>
      <c r="D9" s="59"/>
      <c r="E9" s="59"/>
      <c r="F9" s="59"/>
      <c r="G9" s="59"/>
      <c r="H9" s="59"/>
    </row>
    <row r="10" spans="1:8" ht="6" customHeight="1" x14ac:dyDescent="0.3"/>
    <row r="25" ht="3.75" customHeight="1" x14ac:dyDescent="0.3"/>
    <row r="26" ht="9.75" customHeight="1" x14ac:dyDescent="0.3"/>
    <row r="45" spans="1:8" ht="19.5" customHeight="1" x14ac:dyDescent="0.3">
      <c r="A45" s="59" t="s">
        <v>16</v>
      </c>
      <c r="B45" s="59"/>
      <c r="C45" s="59"/>
      <c r="D45" s="59"/>
      <c r="E45" s="59"/>
      <c r="F45" s="59"/>
      <c r="G45" s="59"/>
      <c r="H45" s="59"/>
    </row>
    <row r="46" spans="1:8" ht="6" customHeight="1" x14ac:dyDescent="0.3"/>
    <row r="47" spans="1:8" ht="19.5" customHeight="1" x14ac:dyDescent="0.3">
      <c r="A47" s="9">
        <v>1</v>
      </c>
      <c r="B47" s="64" t="s">
        <v>17</v>
      </c>
      <c r="C47" s="64"/>
      <c r="D47" s="57" t="s">
        <v>18</v>
      </c>
      <c r="E47" s="57"/>
      <c r="F47" s="57"/>
      <c r="G47" s="57"/>
      <c r="H47" s="57"/>
    </row>
    <row r="48" spans="1:8" ht="19.5" customHeight="1" x14ac:dyDescent="0.3">
      <c r="A48" s="10">
        <v>2</v>
      </c>
      <c r="B48" s="60" t="s">
        <v>19</v>
      </c>
      <c r="C48" s="60"/>
      <c r="D48" s="57" t="s">
        <v>20</v>
      </c>
      <c r="E48" s="57"/>
      <c r="F48" s="57"/>
      <c r="G48" s="57"/>
      <c r="H48" s="57"/>
    </row>
    <row r="49" spans="1:8" ht="19.5" customHeight="1" x14ac:dyDescent="0.3">
      <c r="A49" s="11">
        <v>3</v>
      </c>
      <c r="B49" s="61" t="s">
        <v>21</v>
      </c>
      <c r="C49" s="61"/>
      <c r="D49" s="57" t="s">
        <v>22</v>
      </c>
      <c r="E49" s="57"/>
      <c r="F49" s="57"/>
      <c r="G49" s="57"/>
      <c r="H49" s="57"/>
    </row>
    <row r="50" spans="1:8" ht="19.5" customHeight="1" x14ac:dyDescent="0.3">
      <c r="A50" s="12">
        <v>4</v>
      </c>
      <c r="B50" s="62" t="s">
        <v>23</v>
      </c>
      <c r="C50" s="62"/>
      <c r="D50" s="57" t="s">
        <v>24</v>
      </c>
      <c r="E50" s="57"/>
      <c r="F50" s="57"/>
      <c r="G50" s="57"/>
      <c r="H50" s="57"/>
    </row>
    <row r="51" spans="1:8" ht="19.5" customHeight="1" x14ac:dyDescent="0.3">
      <c r="A51" s="13">
        <v>5</v>
      </c>
      <c r="B51" s="56" t="s">
        <v>25</v>
      </c>
      <c r="C51" s="56"/>
      <c r="D51" s="57" t="s">
        <v>26</v>
      </c>
      <c r="E51" s="57"/>
      <c r="F51" s="57"/>
      <c r="G51" s="57"/>
      <c r="H51" s="57"/>
    </row>
    <row r="52" spans="1:8" ht="19.5" customHeight="1" x14ac:dyDescent="0.3">
      <c r="A52" s="14">
        <v>6</v>
      </c>
      <c r="B52" s="58" t="s">
        <v>27</v>
      </c>
      <c r="C52" s="58"/>
      <c r="D52" s="57" t="s">
        <v>28</v>
      </c>
      <c r="E52" s="57"/>
      <c r="F52" s="57"/>
      <c r="G52" s="57"/>
      <c r="H52" s="57"/>
    </row>
    <row r="53" spans="1:8" ht="7.5" customHeight="1" x14ac:dyDescent="0.3"/>
    <row r="54" spans="1:8" ht="19.5" customHeight="1" x14ac:dyDescent="0.3">
      <c r="A54" s="59" t="s">
        <v>29</v>
      </c>
      <c r="B54" s="59"/>
      <c r="C54" s="59"/>
      <c r="D54" s="59"/>
      <c r="E54" s="59"/>
      <c r="F54" s="59"/>
      <c r="G54" s="59"/>
      <c r="H54" s="59"/>
    </row>
    <row r="55" spans="1:8" ht="6" customHeight="1" x14ac:dyDescent="0.3"/>
    <row r="56" spans="1:8" ht="21.75" customHeight="1" x14ac:dyDescent="0.3">
      <c r="A56" s="50" t="s">
        <v>30</v>
      </c>
      <c r="B56" s="50"/>
      <c r="C56" s="50"/>
      <c r="D56" s="51" t="s">
        <v>31</v>
      </c>
      <c r="E56" s="51"/>
      <c r="F56" s="51"/>
      <c r="G56" s="52" t="s">
        <v>32</v>
      </c>
      <c r="H56" s="52"/>
    </row>
    <row r="57" spans="1:8" ht="21.75" customHeight="1" x14ac:dyDescent="0.3">
      <c r="A57" s="53" t="s">
        <v>33</v>
      </c>
      <c r="B57" s="53"/>
      <c r="C57" s="53"/>
      <c r="D57" s="54" t="s">
        <v>34</v>
      </c>
      <c r="E57" s="54"/>
      <c r="F57" s="54"/>
      <c r="G57" s="55" t="s">
        <v>35</v>
      </c>
      <c r="H57" s="55"/>
    </row>
  </sheetData>
  <mergeCells count="28">
    <mergeCell ref="A1:H1"/>
    <mergeCell ref="A2:H2"/>
    <mergeCell ref="A4:B4"/>
    <mergeCell ref="D4:E4"/>
    <mergeCell ref="F4:G4"/>
    <mergeCell ref="B5:C5"/>
    <mergeCell ref="B7:C7"/>
    <mergeCell ref="A9:H9"/>
    <mergeCell ref="A45:H45"/>
    <mergeCell ref="B47:C47"/>
    <mergeCell ref="D47:H47"/>
    <mergeCell ref="B48:C48"/>
    <mergeCell ref="D48:H48"/>
    <mergeCell ref="B49:C49"/>
    <mergeCell ref="D49:H49"/>
    <mergeCell ref="B50:C50"/>
    <mergeCell ref="D50:H50"/>
    <mergeCell ref="B51:C51"/>
    <mergeCell ref="D51:H51"/>
    <mergeCell ref="B52:C52"/>
    <mergeCell ref="D52:H52"/>
    <mergeCell ref="A54:H54"/>
    <mergeCell ref="A56:C56"/>
    <mergeCell ref="D56:F56"/>
    <mergeCell ref="G56:H56"/>
    <mergeCell ref="A57:C57"/>
    <mergeCell ref="D57:F57"/>
    <mergeCell ref="G57:H57"/>
  </mergeCells>
  <conditionalFormatting sqref="E5">
    <cfRule type="dataBar" priority="2">
      <dataBar>
        <cfvo type="num" val="0"/>
        <cfvo type="num" val="6"/>
        <color rgb="FF7C3AED"/>
      </dataBar>
      <extLst>
        <ext xmlns:x14="http://schemas.microsoft.com/office/spreadsheetml/2009/9/main" uri="{B025F937-C7B1-47D3-B67F-A62EFF666E3E}">
          <x14:id>{D464BB6D-F089-41C5-8297-6F885E126484}</x14:id>
        </ext>
      </extLst>
    </cfRule>
  </conditionalFormatting>
  <conditionalFormatting sqref="E6">
    <cfRule type="dataBar" priority="3">
      <dataBar>
        <cfvo type="num" val="0"/>
        <cfvo type="num" val="6"/>
        <color rgb="FF7C3AED"/>
      </dataBar>
      <extLst>
        <ext xmlns:x14="http://schemas.microsoft.com/office/spreadsheetml/2009/9/main" uri="{B025F937-C7B1-47D3-B67F-A62EFF666E3E}">
          <x14:id>{D8125052-6615-4624-B958-4190A5E17466}</x14:id>
        </ext>
      </extLst>
    </cfRule>
  </conditionalFormatting>
  <conditionalFormatting sqref="E7">
    <cfRule type="dataBar" priority="4">
      <dataBar>
        <cfvo type="num" val="0"/>
        <cfvo type="num" val="100"/>
        <color rgb="FF7C3AED"/>
      </dataBar>
      <extLst>
        <ext xmlns:x14="http://schemas.microsoft.com/office/spreadsheetml/2009/9/main" uri="{B025F937-C7B1-47D3-B67F-A62EFF666E3E}">
          <x14:id>{F4CADA3C-8B29-4DD4-A153-8BD510B94CAE}</x14:id>
        </ext>
      </extLst>
    </cfRule>
  </conditionalFormatting>
  <conditionalFormatting sqref="G5">
    <cfRule type="dataBar" priority="5">
      <dataBar>
        <cfvo type="num" val="0"/>
        <cfvo type="num" val="184"/>
        <color rgb="FF0D9488"/>
      </dataBar>
      <extLst>
        <ext xmlns:x14="http://schemas.microsoft.com/office/spreadsheetml/2009/9/main" uri="{B025F937-C7B1-47D3-B67F-A62EFF666E3E}">
          <x14:id>{8A20C89A-9137-42E5-B4B3-AFFA2074D0E1}</x14:id>
        </ext>
      </extLst>
    </cfRule>
  </conditionalFormatting>
  <conditionalFormatting sqref="G6">
    <cfRule type="dataBar" priority="6">
      <dataBar>
        <cfvo type="num" val="0"/>
        <cfvo type="num" val="184"/>
        <color rgb="FF0D9488"/>
      </dataBar>
      <extLst>
        <ext xmlns:x14="http://schemas.microsoft.com/office/spreadsheetml/2009/9/main" uri="{B025F937-C7B1-47D3-B67F-A62EFF666E3E}">
          <x14:id>{392F701A-1FA6-4049-A9FA-93993E18DA6B}</x14:id>
        </ext>
      </extLst>
    </cfRule>
  </conditionalFormatting>
  <conditionalFormatting sqref="G7">
    <cfRule type="dataBar" priority="7">
      <dataBar>
        <cfvo type="num" val="0"/>
        <cfvo type="num" val="11040"/>
        <color rgb="FF0D9488"/>
      </dataBar>
      <extLst>
        <ext xmlns:x14="http://schemas.microsoft.com/office/spreadsheetml/2009/9/main" uri="{B025F937-C7B1-47D3-B67F-A62EFF666E3E}">
          <x14:id>{EFADB07D-EAED-489B-9B3A-901126F6AB4A}</x14:id>
        </ext>
      </extLst>
    </cfRule>
  </conditionalFormatting>
  <pageMargins left="0.3" right="0.3" top="0.4" bottom="0.4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64BB6D-F089-41C5-8297-6F885E126484}">
            <x14:dataBar axisPosition="none">
              <x14:cfvo type="num">
                <xm:f>0</xm:f>
              </x14:cfvo>
              <x14:cfvo type="num">
                <xm:f>6</xm:f>
              </x14:cfvo>
              <x14:negativeFillColor rgb="FF7C3AED"/>
            </x14:dataBar>
          </x14:cfRule>
          <xm:sqref>E5</xm:sqref>
        </x14:conditionalFormatting>
        <x14:conditionalFormatting xmlns:xm="http://schemas.microsoft.com/office/excel/2006/main">
          <x14:cfRule type="dataBar" id="{D8125052-6615-4624-B958-4190A5E17466}">
            <x14:dataBar axisPosition="none">
              <x14:cfvo type="num">
                <xm:f>0</xm:f>
              </x14:cfvo>
              <x14:cfvo type="num">
                <xm:f>6</xm:f>
              </x14:cfvo>
              <x14:negativeFillColor rgb="FF7C3AED"/>
            </x14:dataBar>
          </x14:cfRule>
          <xm:sqref>E6</xm:sqref>
        </x14:conditionalFormatting>
        <x14:conditionalFormatting xmlns:xm="http://schemas.microsoft.com/office/excel/2006/main">
          <x14:cfRule type="dataBar" id="{F4CADA3C-8B29-4DD4-A153-8BD510B94CAE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7C3AED"/>
            </x14:dataBar>
          </x14:cfRule>
          <xm:sqref>E7</xm:sqref>
        </x14:conditionalFormatting>
        <x14:conditionalFormatting xmlns:xm="http://schemas.microsoft.com/office/excel/2006/main">
          <x14:cfRule type="dataBar" id="{8A20C89A-9137-42E5-B4B3-AFFA2074D0E1}">
            <x14:dataBar axisPosition="none">
              <x14:cfvo type="num">
                <xm:f>0</xm:f>
              </x14:cfvo>
              <x14:cfvo type="num">
                <xm:f>184</xm:f>
              </x14:cfvo>
              <x14:negativeFillColor rgb="FF0D9488"/>
            </x14:dataBar>
          </x14:cfRule>
          <xm:sqref>G5</xm:sqref>
        </x14:conditionalFormatting>
        <x14:conditionalFormatting xmlns:xm="http://schemas.microsoft.com/office/excel/2006/main">
          <x14:cfRule type="dataBar" id="{392F701A-1FA6-4049-A9FA-93993E18DA6B}">
            <x14:dataBar axisPosition="none">
              <x14:cfvo type="num">
                <xm:f>0</xm:f>
              </x14:cfvo>
              <x14:cfvo type="num">
                <xm:f>184</xm:f>
              </x14:cfvo>
              <x14:negativeFillColor rgb="FF0D9488"/>
            </x14:dataBar>
          </x14:cfRule>
          <xm:sqref>G6</xm:sqref>
        </x14:conditionalFormatting>
        <x14:conditionalFormatting xmlns:xm="http://schemas.microsoft.com/office/excel/2006/main">
          <x14:cfRule type="dataBar" id="{EFADB07D-EAED-489B-9B3A-901126F6AB4A}">
            <x14:dataBar axisPosition="none">
              <x14:cfvo type="num">
                <xm:f>0</xm:f>
              </x14:cfvo>
              <x14:cfvo type="num">
                <xm:f>11040</xm:f>
              </x14:cfvo>
              <x14:negativeFillColor rgb="FF0D9488"/>
            </x14:dataBar>
          </x14:cfRule>
          <xm:sqref>G7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"/>
  <sheetViews>
    <sheetView showGridLines="0" zoomScaleNormal="100" workbookViewId="0">
      <pane ySplit="1" topLeftCell="A2" activePane="bottomLeft" state="frozen"/>
      <selection pane="bottomLeft" activeCell="I3" sqref="I3"/>
    </sheetView>
  </sheetViews>
  <sheetFormatPr defaultColWidth="8.6640625" defaultRowHeight="14.4" x14ac:dyDescent="0.3"/>
  <cols>
    <col min="1" max="2" width="10" customWidth="1"/>
    <col min="3" max="3" width="24" customWidth="1"/>
    <col min="4" max="4" width="52" customWidth="1"/>
    <col min="5" max="5" width="34" customWidth="1"/>
    <col min="6" max="6" width="12" customWidth="1"/>
    <col min="7" max="7" width="13" customWidth="1"/>
    <col min="8" max="8" width="11" customWidth="1"/>
    <col min="9" max="9" width="20" customWidth="1"/>
  </cols>
  <sheetData>
    <row r="1" spans="1:9" ht="25.5" customHeight="1" x14ac:dyDescent="0.3">
      <c r="A1" s="15" t="s">
        <v>36</v>
      </c>
      <c r="B1" s="15" t="s">
        <v>37</v>
      </c>
      <c r="C1" s="15" t="s">
        <v>38</v>
      </c>
      <c r="D1" s="15" t="s">
        <v>39</v>
      </c>
      <c r="E1" s="15" t="s">
        <v>40</v>
      </c>
      <c r="F1" s="15" t="s">
        <v>41</v>
      </c>
      <c r="G1" s="15" t="s">
        <v>42</v>
      </c>
      <c r="H1" s="15" t="s">
        <v>43</v>
      </c>
      <c r="I1" s="15" t="s">
        <v>44</v>
      </c>
    </row>
    <row r="2" spans="1:9" ht="63.75" customHeight="1" x14ac:dyDescent="0.3">
      <c r="A2" s="16" t="s">
        <v>45</v>
      </c>
      <c r="B2" s="16" t="s">
        <v>46</v>
      </c>
      <c r="C2" s="16" t="s">
        <v>47</v>
      </c>
      <c r="D2" s="17" t="s">
        <v>48</v>
      </c>
      <c r="E2" s="17" t="s">
        <v>49</v>
      </c>
      <c r="F2" s="16">
        <v>22</v>
      </c>
      <c r="G2" s="16" t="s">
        <v>50</v>
      </c>
      <c r="H2" s="18">
        <v>0</v>
      </c>
      <c r="I2" s="17"/>
    </row>
    <row r="3" spans="1:9" ht="63.75" customHeight="1" x14ac:dyDescent="0.3">
      <c r="A3" s="19" t="s">
        <v>51</v>
      </c>
      <c r="B3" s="19" t="s">
        <v>52</v>
      </c>
      <c r="C3" s="19" t="s">
        <v>53</v>
      </c>
      <c r="D3" s="20" t="s">
        <v>54</v>
      </c>
      <c r="E3" s="20" t="s">
        <v>55</v>
      </c>
      <c r="F3" s="19">
        <v>28</v>
      </c>
      <c r="G3" s="19" t="s">
        <v>50</v>
      </c>
      <c r="H3" s="21">
        <v>0</v>
      </c>
      <c r="I3" s="20"/>
    </row>
    <row r="4" spans="1:9" ht="63.75" customHeight="1" x14ac:dyDescent="0.3">
      <c r="A4" s="16" t="s">
        <v>56</v>
      </c>
      <c r="B4" s="16" t="s">
        <v>57</v>
      </c>
      <c r="C4" s="16" t="s">
        <v>58</v>
      </c>
      <c r="D4" s="17" t="s">
        <v>59</v>
      </c>
      <c r="E4" s="17" t="s">
        <v>60</v>
      </c>
      <c r="F4" s="16">
        <v>28</v>
      </c>
      <c r="G4" s="16" t="s">
        <v>50</v>
      </c>
      <c r="H4" s="18">
        <v>0</v>
      </c>
      <c r="I4" s="17"/>
    </row>
    <row r="5" spans="1:9" ht="63.75" customHeight="1" x14ac:dyDescent="0.3">
      <c r="A5" s="19" t="s">
        <v>61</v>
      </c>
      <c r="B5" s="19" t="s">
        <v>62</v>
      </c>
      <c r="C5" s="19" t="s">
        <v>63</v>
      </c>
      <c r="D5" s="20" t="s">
        <v>64</v>
      </c>
      <c r="E5" s="20" t="s">
        <v>65</v>
      </c>
      <c r="F5" s="19">
        <v>22</v>
      </c>
      <c r="G5" s="19" t="s">
        <v>50</v>
      </c>
      <c r="H5" s="21">
        <v>0</v>
      </c>
      <c r="I5" s="20"/>
    </row>
    <row r="6" spans="1:9" ht="63.75" customHeight="1" x14ac:dyDescent="0.3">
      <c r="A6" s="16" t="s">
        <v>66</v>
      </c>
      <c r="B6" s="16" t="s">
        <v>67</v>
      </c>
      <c r="C6" s="16" t="s">
        <v>68</v>
      </c>
      <c r="D6" s="17" t="s">
        <v>69</v>
      </c>
      <c r="E6" s="17" t="s">
        <v>70</v>
      </c>
      <c r="F6" s="16">
        <v>26</v>
      </c>
      <c r="G6" s="16" t="s">
        <v>50</v>
      </c>
      <c r="H6" s="18">
        <v>0</v>
      </c>
      <c r="I6" s="17"/>
    </row>
    <row r="7" spans="1:9" ht="63.75" customHeight="1" x14ac:dyDescent="0.3">
      <c r="A7" s="19" t="s">
        <v>71</v>
      </c>
      <c r="B7" s="19" t="s">
        <v>72</v>
      </c>
      <c r="C7" s="19" t="s">
        <v>73</v>
      </c>
      <c r="D7" s="20" t="s">
        <v>74</v>
      </c>
      <c r="E7" s="20" t="s">
        <v>75</v>
      </c>
      <c r="F7" s="19">
        <v>22</v>
      </c>
      <c r="G7" s="19" t="s">
        <v>50</v>
      </c>
      <c r="H7" s="21">
        <v>0</v>
      </c>
      <c r="I7" s="20"/>
    </row>
  </sheetData>
  <conditionalFormatting sqref="B2:B7">
    <cfRule type="expression" dxfId="33" priority="2">
      <formula>$B2="Phase 1"</formula>
    </cfRule>
    <cfRule type="expression" dxfId="32" priority="3">
      <formula>$B2="Phase 2"</formula>
    </cfRule>
    <cfRule type="expression" dxfId="31" priority="4">
      <formula>$B2="Phase 3"</formula>
    </cfRule>
    <cfRule type="expression" dxfId="30" priority="5">
      <formula>$B2="Phase 4"</formula>
    </cfRule>
    <cfRule type="expression" dxfId="29" priority="6">
      <formula>$B2="Phase 5"</formula>
    </cfRule>
    <cfRule type="expression" dxfId="28" priority="7">
      <formula>$B2="Phase 6"</formula>
    </cfRule>
  </conditionalFormatting>
  <conditionalFormatting sqref="G2:G7">
    <cfRule type="expression" dxfId="27" priority="8">
      <formula>$G2="Not Started"</formula>
    </cfRule>
    <cfRule type="expression" dxfId="26" priority="9">
      <formula>$G2="In Progress"</formula>
    </cfRule>
    <cfRule type="expression" dxfId="25" priority="10">
      <formula>$G2="Completed"</formula>
    </cfRule>
    <cfRule type="expression" dxfId="24" priority="11">
      <formula>$G2="On Hold"</formula>
    </cfRule>
  </conditionalFormatting>
  <conditionalFormatting sqref="H2:H7">
    <cfRule type="dataBar" priority="12">
      <dataBar>
        <cfvo type="num" val="0"/>
        <cfvo type="num" val="100"/>
        <color rgb="FF9D4EDD"/>
      </dataBar>
      <extLst>
        <ext xmlns:x14="http://schemas.microsoft.com/office/spreadsheetml/2009/9/main" uri="{B025F937-C7B1-47D3-B67F-A62EFF666E3E}">
          <x14:id>{EBEC2610-BC49-4BD4-BED6-36155127D67A}</x14:id>
        </ext>
      </extLst>
    </cfRule>
  </conditionalFormatting>
  <dataValidations count="1">
    <dataValidation type="list" allowBlank="1" sqref="G2:G7" xr:uid="{00000000-0002-0000-0100-000000000000}">
      <formula1>"Not Started,In Progress,Completed,On Hold"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EC2610-BC49-4BD4-BED6-36155127D67A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9D4EDD"/>
            </x14:dataBar>
          </x14:cfRule>
          <xm:sqref>H2:H7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82"/>
  <sheetViews>
    <sheetView showGridLines="0" tabSelected="1" zoomScaleNormal="100" workbookViewId="0">
      <pane ySplit="1" topLeftCell="A2" activePane="bottomLeft" state="frozen"/>
      <selection pane="bottomLeft" activeCell="G2" sqref="G2"/>
    </sheetView>
  </sheetViews>
  <sheetFormatPr defaultColWidth="8.6640625" defaultRowHeight="14.4" x14ac:dyDescent="0.3"/>
  <cols>
    <col min="1" max="1" width="12" customWidth="1"/>
    <col min="2" max="2" width="11" customWidth="1"/>
    <col min="3" max="3" width="13.6640625" bestFit="1" customWidth="1"/>
    <col min="4" max="4" width="22" customWidth="1"/>
    <col min="5" max="5" width="32" customWidth="1"/>
    <col min="6" max="7" width="11.33203125" bestFit="1" customWidth="1"/>
    <col min="8" max="8" width="12" customWidth="1"/>
    <col min="9" max="9" width="24" customWidth="1"/>
    <col min="10" max="10" width="20" customWidth="1"/>
  </cols>
  <sheetData>
    <row r="1" spans="1:10" ht="24" customHeight="1" x14ac:dyDescent="0.3">
      <c r="A1" s="15" t="s">
        <v>76</v>
      </c>
      <c r="B1" s="15" t="s">
        <v>77</v>
      </c>
      <c r="C1" s="15" t="s">
        <v>78</v>
      </c>
      <c r="D1" s="15" t="s">
        <v>38</v>
      </c>
      <c r="E1" s="15" t="s">
        <v>79</v>
      </c>
      <c r="F1" s="15" t="s">
        <v>80</v>
      </c>
      <c r="G1" s="15" t="s">
        <v>81</v>
      </c>
      <c r="H1" s="15" t="s">
        <v>42</v>
      </c>
      <c r="I1" s="15" t="s">
        <v>82</v>
      </c>
      <c r="J1" s="15" t="s">
        <v>44</v>
      </c>
    </row>
    <row r="2" spans="1:10" ht="27.6" x14ac:dyDescent="0.3">
      <c r="A2" s="22">
        <v>46266</v>
      </c>
      <c r="B2" s="23" t="s">
        <v>83</v>
      </c>
      <c r="C2" s="23" t="s">
        <v>45</v>
      </c>
      <c r="D2" s="23" t="s">
        <v>47</v>
      </c>
      <c r="E2" s="24" t="s">
        <v>84</v>
      </c>
      <c r="F2" s="23">
        <v>60</v>
      </c>
      <c r="G2" s="23"/>
      <c r="H2" s="23" t="s">
        <v>85</v>
      </c>
      <c r="I2" s="24"/>
      <c r="J2" s="24"/>
    </row>
    <row r="3" spans="1:10" x14ac:dyDescent="0.3">
      <c r="A3" s="22">
        <v>46267</v>
      </c>
      <c r="B3" s="26" t="s">
        <v>86</v>
      </c>
      <c r="C3" s="26" t="s">
        <v>45</v>
      </c>
      <c r="D3" s="26" t="s">
        <v>47</v>
      </c>
      <c r="E3" s="27" t="s">
        <v>87</v>
      </c>
      <c r="F3" s="26">
        <v>60</v>
      </c>
      <c r="G3" s="26"/>
      <c r="H3" s="26" t="s">
        <v>85</v>
      </c>
      <c r="I3" s="27"/>
      <c r="J3" s="27"/>
    </row>
    <row r="4" spans="1:10" x14ac:dyDescent="0.3">
      <c r="A4" s="22">
        <v>46268</v>
      </c>
      <c r="B4" s="23" t="s">
        <v>88</v>
      </c>
      <c r="C4" s="23" t="s">
        <v>45</v>
      </c>
      <c r="D4" s="23" t="s">
        <v>47</v>
      </c>
      <c r="E4" s="24" t="s">
        <v>89</v>
      </c>
      <c r="F4" s="23">
        <v>60</v>
      </c>
      <c r="G4" s="23"/>
      <c r="H4" s="23" t="s">
        <v>85</v>
      </c>
      <c r="I4" s="24"/>
      <c r="J4" s="24"/>
    </row>
    <row r="5" spans="1:10" x14ac:dyDescent="0.3">
      <c r="A5" s="22">
        <v>46269</v>
      </c>
      <c r="B5" s="26" t="s">
        <v>90</v>
      </c>
      <c r="C5" s="26" t="s">
        <v>45</v>
      </c>
      <c r="D5" s="26" t="s">
        <v>47</v>
      </c>
      <c r="E5" s="27" t="s">
        <v>91</v>
      </c>
      <c r="F5" s="26">
        <v>60</v>
      </c>
      <c r="G5" s="26"/>
      <c r="H5" s="26" t="s">
        <v>85</v>
      </c>
      <c r="I5" s="27"/>
      <c r="J5" s="27"/>
    </row>
    <row r="6" spans="1:10" x14ac:dyDescent="0.3">
      <c r="A6" s="22">
        <v>46270</v>
      </c>
      <c r="B6" s="23" t="s">
        <v>92</v>
      </c>
      <c r="C6" s="23" t="s">
        <v>45</v>
      </c>
      <c r="D6" s="23" t="s">
        <v>47</v>
      </c>
      <c r="E6" s="24" t="s">
        <v>93</v>
      </c>
      <c r="F6" s="23">
        <v>60</v>
      </c>
      <c r="G6" s="23"/>
      <c r="H6" s="23" t="s">
        <v>85</v>
      </c>
      <c r="I6" s="24"/>
      <c r="J6" s="24"/>
    </row>
    <row r="7" spans="1:10" x14ac:dyDescent="0.3">
      <c r="A7" s="22">
        <v>46271</v>
      </c>
      <c r="B7" s="26" t="s">
        <v>94</v>
      </c>
      <c r="C7" s="26" t="s">
        <v>45</v>
      </c>
      <c r="D7" s="26" t="s">
        <v>47</v>
      </c>
      <c r="E7" s="27" t="s">
        <v>95</v>
      </c>
      <c r="F7" s="26">
        <v>60</v>
      </c>
      <c r="G7" s="26"/>
      <c r="H7" s="26" t="s">
        <v>85</v>
      </c>
      <c r="I7" s="27"/>
      <c r="J7" s="27"/>
    </row>
    <row r="8" spans="1:10" x14ac:dyDescent="0.3">
      <c r="A8" s="22">
        <v>46272</v>
      </c>
      <c r="B8" s="23" t="s">
        <v>96</v>
      </c>
      <c r="C8" s="23" t="s">
        <v>45</v>
      </c>
      <c r="D8" s="23" t="s">
        <v>47</v>
      </c>
      <c r="E8" s="24" t="s">
        <v>97</v>
      </c>
      <c r="F8" s="23">
        <v>30</v>
      </c>
      <c r="G8" s="23"/>
      <c r="H8" s="23" t="s">
        <v>85</v>
      </c>
      <c r="I8" s="24"/>
      <c r="J8" s="24"/>
    </row>
    <row r="9" spans="1:10" ht="27.6" x14ac:dyDescent="0.3">
      <c r="A9" s="22">
        <v>46273</v>
      </c>
      <c r="B9" s="26" t="s">
        <v>83</v>
      </c>
      <c r="C9" s="26" t="s">
        <v>45</v>
      </c>
      <c r="D9" s="26" t="s">
        <v>47</v>
      </c>
      <c r="E9" s="27" t="s">
        <v>84</v>
      </c>
      <c r="F9" s="26">
        <v>60</v>
      </c>
      <c r="G9" s="26"/>
      <c r="H9" s="26" t="s">
        <v>85</v>
      </c>
      <c r="I9" s="27"/>
      <c r="J9" s="27"/>
    </row>
    <row r="10" spans="1:10" x14ac:dyDescent="0.3">
      <c r="A10" s="22">
        <v>46274</v>
      </c>
      <c r="B10" s="23" t="s">
        <v>86</v>
      </c>
      <c r="C10" s="23" t="s">
        <v>45</v>
      </c>
      <c r="D10" s="23" t="s">
        <v>47</v>
      </c>
      <c r="E10" s="24" t="s">
        <v>87</v>
      </c>
      <c r="F10" s="23">
        <v>60</v>
      </c>
      <c r="G10" s="23"/>
      <c r="H10" s="23" t="s">
        <v>85</v>
      </c>
      <c r="I10" s="24"/>
      <c r="J10" s="24"/>
    </row>
    <row r="11" spans="1:10" x14ac:dyDescent="0.3">
      <c r="A11" s="22">
        <v>46275</v>
      </c>
      <c r="B11" s="26" t="s">
        <v>88</v>
      </c>
      <c r="C11" s="26" t="s">
        <v>45</v>
      </c>
      <c r="D11" s="26" t="s">
        <v>47</v>
      </c>
      <c r="E11" s="27" t="s">
        <v>89</v>
      </c>
      <c r="F11" s="26">
        <v>60</v>
      </c>
      <c r="G11" s="26"/>
      <c r="H11" s="26" t="s">
        <v>85</v>
      </c>
      <c r="I11" s="27"/>
      <c r="J11" s="27"/>
    </row>
    <row r="12" spans="1:10" x14ac:dyDescent="0.3">
      <c r="A12" s="22">
        <v>46276</v>
      </c>
      <c r="B12" s="23" t="s">
        <v>90</v>
      </c>
      <c r="C12" s="23" t="s">
        <v>45</v>
      </c>
      <c r="D12" s="23" t="s">
        <v>47</v>
      </c>
      <c r="E12" s="24" t="s">
        <v>91</v>
      </c>
      <c r="F12" s="23">
        <v>60</v>
      </c>
      <c r="G12" s="23"/>
      <c r="H12" s="23" t="s">
        <v>85</v>
      </c>
      <c r="I12" s="24"/>
      <c r="J12" s="24"/>
    </row>
    <row r="13" spans="1:10" x14ac:dyDescent="0.3">
      <c r="A13" s="22">
        <v>46277</v>
      </c>
      <c r="B13" s="26" t="s">
        <v>92</v>
      </c>
      <c r="C13" s="26" t="s">
        <v>45</v>
      </c>
      <c r="D13" s="26" t="s">
        <v>47</v>
      </c>
      <c r="E13" s="27" t="s">
        <v>93</v>
      </c>
      <c r="F13" s="26">
        <v>60</v>
      </c>
      <c r="G13" s="26"/>
      <c r="H13" s="26" t="s">
        <v>85</v>
      </c>
      <c r="I13" s="27"/>
      <c r="J13" s="27"/>
    </row>
    <row r="14" spans="1:10" x14ac:dyDescent="0.3">
      <c r="A14" s="22">
        <v>46278</v>
      </c>
      <c r="B14" s="23" t="s">
        <v>94</v>
      </c>
      <c r="C14" s="23" t="s">
        <v>45</v>
      </c>
      <c r="D14" s="23" t="s">
        <v>47</v>
      </c>
      <c r="E14" s="24" t="s">
        <v>95</v>
      </c>
      <c r="F14" s="23">
        <v>60</v>
      </c>
      <c r="G14" s="23"/>
      <c r="H14" s="23" t="s">
        <v>85</v>
      </c>
      <c r="I14" s="24"/>
      <c r="J14" s="24"/>
    </row>
    <row r="15" spans="1:10" x14ac:dyDescent="0.3">
      <c r="A15" s="22">
        <v>46279</v>
      </c>
      <c r="B15" s="26" t="s">
        <v>96</v>
      </c>
      <c r="C15" s="26" t="s">
        <v>45</v>
      </c>
      <c r="D15" s="26" t="s">
        <v>47</v>
      </c>
      <c r="E15" s="27" t="s">
        <v>97</v>
      </c>
      <c r="F15" s="26">
        <v>30</v>
      </c>
      <c r="G15" s="26"/>
      <c r="H15" s="26" t="s">
        <v>85</v>
      </c>
      <c r="I15" s="27"/>
      <c r="J15" s="27"/>
    </row>
    <row r="16" spans="1:10" ht="27.6" x14ac:dyDescent="0.3">
      <c r="A16" s="22">
        <v>46280</v>
      </c>
      <c r="B16" s="23" t="s">
        <v>83</v>
      </c>
      <c r="C16" s="23" t="s">
        <v>45</v>
      </c>
      <c r="D16" s="23" t="s">
        <v>47</v>
      </c>
      <c r="E16" s="24" t="s">
        <v>84</v>
      </c>
      <c r="F16" s="23">
        <v>60</v>
      </c>
      <c r="G16" s="23"/>
      <c r="H16" s="23" t="s">
        <v>85</v>
      </c>
      <c r="I16" s="24"/>
      <c r="J16" s="24"/>
    </row>
    <row r="17" spans="1:10" x14ac:dyDescent="0.3">
      <c r="A17" s="22">
        <v>46281</v>
      </c>
      <c r="B17" s="26" t="s">
        <v>86</v>
      </c>
      <c r="C17" s="26" t="s">
        <v>45</v>
      </c>
      <c r="D17" s="26" t="s">
        <v>47</v>
      </c>
      <c r="E17" s="27" t="s">
        <v>87</v>
      </c>
      <c r="F17" s="26">
        <v>60</v>
      </c>
      <c r="G17" s="26"/>
      <c r="H17" s="26" t="s">
        <v>85</v>
      </c>
      <c r="I17" s="27"/>
      <c r="J17" s="27"/>
    </row>
    <row r="18" spans="1:10" x14ac:dyDescent="0.3">
      <c r="A18" s="22">
        <v>46282</v>
      </c>
      <c r="B18" s="23" t="s">
        <v>88</v>
      </c>
      <c r="C18" s="23" t="s">
        <v>45</v>
      </c>
      <c r="D18" s="23" t="s">
        <v>47</v>
      </c>
      <c r="E18" s="24" t="s">
        <v>89</v>
      </c>
      <c r="F18" s="23">
        <v>60</v>
      </c>
      <c r="G18" s="23"/>
      <c r="H18" s="23" t="s">
        <v>85</v>
      </c>
      <c r="I18" s="24"/>
      <c r="J18" s="24"/>
    </row>
    <row r="19" spans="1:10" x14ac:dyDescent="0.3">
      <c r="A19" s="22">
        <v>46283</v>
      </c>
      <c r="B19" s="26" t="s">
        <v>90</v>
      </c>
      <c r="C19" s="26" t="s">
        <v>45</v>
      </c>
      <c r="D19" s="26" t="s">
        <v>47</v>
      </c>
      <c r="E19" s="27" t="s">
        <v>91</v>
      </c>
      <c r="F19" s="26">
        <v>60</v>
      </c>
      <c r="G19" s="26"/>
      <c r="H19" s="26" t="s">
        <v>85</v>
      </c>
      <c r="I19" s="27"/>
      <c r="J19" s="27"/>
    </row>
    <row r="20" spans="1:10" x14ac:dyDescent="0.3">
      <c r="A20" s="22">
        <v>46284</v>
      </c>
      <c r="B20" s="23" t="s">
        <v>92</v>
      </c>
      <c r="C20" s="23" t="s">
        <v>45</v>
      </c>
      <c r="D20" s="23" t="s">
        <v>47</v>
      </c>
      <c r="E20" s="24" t="s">
        <v>93</v>
      </c>
      <c r="F20" s="23">
        <v>60</v>
      </c>
      <c r="G20" s="23"/>
      <c r="H20" s="23" t="s">
        <v>85</v>
      </c>
      <c r="I20" s="24"/>
      <c r="J20" s="24"/>
    </row>
    <row r="21" spans="1:10" x14ac:dyDescent="0.3">
      <c r="A21" s="22">
        <v>46285</v>
      </c>
      <c r="B21" s="26" t="s">
        <v>94</v>
      </c>
      <c r="C21" s="26" t="s">
        <v>45</v>
      </c>
      <c r="D21" s="26" t="s">
        <v>47</v>
      </c>
      <c r="E21" s="27" t="s">
        <v>95</v>
      </c>
      <c r="F21" s="26">
        <v>60</v>
      </c>
      <c r="G21" s="26"/>
      <c r="H21" s="26" t="s">
        <v>85</v>
      </c>
      <c r="I21" s="27"/>
      <c r="J21" s="27"/>
    </row>
    <row r="22" spans="1:10" x14ac:dyDescent="0.3">
      <c r="A22" s="22">
        <v>46286</v>
      </c>
      <c r="B22" s="23" t="s">
        <v>96</v>
      </c>
      <c r="C22" s="23" t="s">
        <v>45</v>
      </c>
      <c r="D22" s="23" t="s">
        <v>47</v>
      </c>
      <c r="E22" s="24" t="s">
        <v>97</v>
      </c>
      <c r="F22" s="23">
        <v>30</v>
      </c>
      <c r="G22" s="23"/>
      <c r="H22" s="23" t="s">
        <v>85</v>
      </c>
      <c r="I22" s="24"/>
      <c r="J22" s="24"/>
    </row>
    <row r="23" spans="1:10" ht="27.6" x14ac:dyDescent="0.3">
      <c r="A23" s="22">
        <v>46287</v>
      </c>
      <c r="B23" s="26" t="s">
        <v>83</v>
      </c>
      <c r="C23" s="26" t="s">
        <v>45</v>
      </c>
      <c r="D23" s="26" t="s">
        <v>47</v>
      </c>
      <c r="E23" s="27" t="s">
        <v>84</v>
      </c>
      <c r="F23" s="26">
        <v>60</v>
      </c>
      <c r="G23" s="26"/>
      <c r="H23" s="26" t="s">
        <v>85</v>
      </c>
      <c r="I23" s="27"/>
      <c r="J23" s="27"/>
    </row>
    <row r="24" spans="1:10" x14ac:dyDescent="0.3">
      <c r="A24" s="22">
        <v>46288</v>
      </c>
      <c r="B24" s="23" t="s">
        <v>86</v>
      </c>
      <c r="C24" s="23" t="s">
        <v>45</v>
      </c>
      <c r="D24" s="23" t="s">
        <v>47</v>
      </c>
      <c r="E24" s="24" t="s">
        <v>87</v>
      </c>
      <c r="F24" s="23">
        <v>60</v>
      </c>
      <c r="G24" s="23"/>
      <c r="H24" s="23" t="s">
        <v>85</v>
      </c>
      <c r="I24" s="24"/>
      <c r="J24" s="24"/>
    </row>
    <row r="25" spans="1:10" x14ac:dyDescent="0.3">
      <c r="A25" s="22">
        <v>46289</v>
      </c>
      <c r="B25" s="26" t="s">
        <v>88</v>
      </c>
      <c r="C25" s="26" t="s">
        <v>45</v>
      </c>
      <c r="D25" s="26" t="s">
        <v>47</v>
      </c>
      <c r="E25" s="27" t="s">
        <v>89</v>
      </c>
      <c r="F25" s="26">
        <v>60</v>
      </c>
      <c r="G25" s="26"/>
      <c r="H25" s="26" t="s">
        <v>85</v>
      </c>
      <c r="I25" s="27"/>
      <c r="J25" s="27"/>
    </row>
    <row r="26" spans="1:10" x14ac:dyDescent="0.3">
      <c r="A26" s="22">
        <v>46290</v>
      </c>
      <c r="B26" s="23" t="s">
        <v>90</v>
      </c>
      <c r="C26" s="23" t="s">
        <v>45</v>
      </c>
      <c r="D26" s="23" t="s">
        <v>47</v>
      </c>
      <c r="E26" s="24" t="s">
        <v>91</v>
      </c>
      <c r="F26" s="23">
        <v>60</v>
      </c>
      <c r="G26" s="23"/>
      <c r="H26" s="23" t="s">
        <v>85</v>
      </c>
      <c r="I26" s="24"/>
      <c r="J26" s="24"/>
    </row>
    <row r="27" spans="1:10" x14ac:dyDescent="0.3">
      <c r="A27" s="22">
        <v>46291</v>
      </c>
      <c r="B27" s="26" t="s">
        <v>92</v>
      </c>
      <c r="C27" s="26" t="s">
        <v>45</v>
      </c>
      <c r="D27" s="26" t="s">
        <v>47</v>
      </c>
      <c r="E27" s="27" t="s">
        <v>93</v>
      </c>
      <c r="F27" s="26">
        <v>60</v>
      </c>
      <c r="G27" s="26"/>
      <c r="H27" s="26" t="s">
        <v>85</v>
      </c>
      <c r="I27" s="27"/>
      <c r="J27" s="27"/>
    </row>
    <row r="28" spans="1:10" x14ac:dyDescent="0.3">
      <c r="A28" s="22">
        <v>46292</v>
      </c>
      <c r="B28" s="23" t="s">
        <v>94</v>
      </c>
      <c r="C28" s="23" t="s">
        <v>45</v>
      </c>
      <c r="D28" s="23" t="s">
        <v>47</v>
      </c>
      <c r="E28" s="24" t="s">
        <v>95</v>
      </c>
      <c r="F28" s="23">
        <v>60</v>
      </c>
      <c r="G28" s="23"/>
      <c r="H28" s="23" t="s">
        <v>85</v>
      </c>
      <c r="I28" s="24"/>
      <c r="J28" s="24"/>
    </row>
    <row r="29" spans="1:10" x14ac:dyDescent="0.3">
      <c r="A29" s="22">
        <v>46293</v>
      </c>
      <c r="B29" s="26" t="s">
        <v>96</v>
      </c>
      <c r="C29" s="26" t="s">
        <v>45</v>
      </c>
      <c r="D29" s="26" t="s">
        <v>47</v>
      </c>
      <c r="E29" s="27" t="s">
        <v>97</v>
      </c>
      <c r="F29" s="26">
        <v>30</v>
      </c>
      <c r="G29" s="26"/>
      <c r="H29" s="26" t="s">
        <v>85</v>
      </c>
      <c r="I29" s="27"/>
      <c r="J29" s="27"/>
    </row>
    <row r="30" spans="1:10" ht="27.6" x14ac:dyDescent="0.3">
      <c r="A30" s="22">
        <v>46294</v>
      </c>
      <c r="B30" s="23" t="s">
        <v>83</v>
      </c>
      <c r="C30" s="23" t="s">
        <v>45</v>
      </c>
      <c r="D30" s="23" t="s">
        <v>47</v>
      </c>
      <c r="E30" s="24" t="s">
        <v>84</v>
      </c>
      <c r="F30" s="23">
        <v>60</v>
      </c>
      <c r="G30" s="23"/>
      <c r="H30" s="23" t="s">
        <v>85</v>
      </c>
      <c r="I30" s="24"/>
      <c r="J30" s="24"/>
    </row>
    <row r="31" spans="1:10" x14ac:dyDescent="0.3">
      <c r="A31" s="22">
        <v>46295</v>
      </c>
      <c r="B31" s="26" t="s">
        <v>86</v>
      </c>
      <c r="C31" s="26" t="s">
        <v>45</v>
      </c>
      <c r="D31" s="26" t="s">
        <v>47</v>
      </c>
      <c r="E31" s="27" t="s">
        <v>87</v>
      </c>
      <c r="F31" s="26">
        <v>60</v>
      </c>
      <c r="G31" s="26"/>
      <c r="H31" s="26" t="s">
        <v>85</v>
      </c>
      <c r="I31" s="27"/>
      <c r="J31" s="27"/>
    </row>
    <row r="32" spans="1:10" x14ac:dyDescent="0.3">
      <c r="A32" s="22">
        <v>46296</v>
      </c>
      <c r="B32" s="23" t="s">
        <v>88</v>
      </c>
      <c r="C32" s="26" t="s">
        <v>51</v>
      </c>
      <c r="D32" s="23" t="s">
        <v>47</v>
      </c>
      <c r="E32" s="24" t="s">
        <v>89</v>
      </c>
      <c r="F32" s="23">
        <v>60</v>
      </c>
      <c r="G32" s="23"/>
      <c r="H32" s="23" t="s">
        <v>85</v>
      </c>
      <c r="I32" s="24"/>
      <c r="J32" s="24"/>
    </row>
    <row r="33" spans="1:10" ht="27.6" x14ac:dyDescent="0.3">
      <c r="A33" s="22">
        <v>46297</v>
      </c>
      <c r="B33" s="26" t="s">
        <v>90</v>
      </c>
      <c r="C33" s="26" t="s">
        <v>51</v>
      </c>
      <c r="D33" s="26" t="s">
        <v>53</v>
      </c>
      <c r="E33" s="27" t="s">
        <v>98</v>
      </c>
      <c r="F33" s="26">
        <v>60</v>
      </c>
      <c r="G33" s="26"/>
      <c r="H33" s="26" t="s">
        <v>85</v>
      </c>
      <c r="I33" s="27"/>
      <c r="J33" s="27"/>
    </row>
    <row r="34" spans="1:10" x14ac:dyDescent="0.3">
      <c r="A34" s="22">
        <v>46298</v>
      </c>
      <c r="B34" s="23" t="s">
        <v>92</v>
      </c>
      <c r="C34" s="23" t="s">
        <v>51</v>
      </c>
      <c r="D34" s="23" t="s">
        <v>53</v>
      </c>
      <c r="E34" s="24" t="s">
        <v>99</v>
      </c>
      <c r="F34" s="23">
        <v>60</v>
      </c>
      <c r="G34" s="23"/>
      <c r="H34" s="23" t="s">
        <v>85</v>
      </c>
      <c r="I34" s="24"/>
      <c r="J34" s="24"/>
    </row>
    <row r="35" spans="1:10" x14ac:dyDescent="0.3">
      <c r="A35" s="22">
        <v>46299</v>
      </c>
      <c r="B35" s="26" t="s">
        <v>94</v>
      </c>
      <c r="C35" s="26" t="s">
        <v>51</v>
      </c>
      <c r="D35" s="26" t="s">
        <v>53</v>
      </c>
      <c r="E35" s="27" t="s">
        <v>100</v>
      </c>
      <c r="F35" s="26">
        <v>60</v>
      </c>
      <c r="G35" s="26"/>
      <c r="H35" s="26" t="s">
        <v>85</v>
      </c>
      <c r="I35" s="27"/>
      <c r="J35" s="27"/>
    </row>
    <row r="36" spans="1:10" x14ac:dyDescent="0.3">
      <c r="A36" s="22">
        <v>46300</v>
      </c>
      <c r="B36" s="23" t="s">
        <v>96</v>
      </c>
      <c r="C36" s="23" t="s">
        <v>51</v>
      </c>
      <c r="D36" s="23" t="s">
        <v>53</v>
      </c>
      <c r="E36" s="24" t="s">
        <v>97</v>
      </c>
      <c r="F36" s="23">
        <v>30</v>
      </c>
      <c r="G36" s="23"/>
      <c r="H36" s="23" t="s">
        <v>85</v>
      </c>
      <c r="I36" s="24"/>
      <c r="J36" s="24"/>
    </row>
    <row r="37" spans="1:10" x14ac:dyDescent="0.3">
      <c r="A37" s="22">
        <v>46301</v>
      </c>
      <c r="B37" s="26" t="s">
        <v>83</v>
      </c>
      <c r="C37" s="26" t="s">
        <v>51</v>
      </c>
      <c r="D37" s="26" t="s">
        <v>53</v>
      </c>
      <c r="E37" s="27" t="s">
        <v>101</v>
      </c>
      <c r="F37" s="26">
        <v>60</v>
      </c>
      <c r="G37" s="26"/>
      <c r="H37" s="26" t="s">
        <v>85</v>
      </c>
      <c r="I37" s="27"/>
      <c r="J37" s="27"/>
    </row>
    <row r="38" spans="1:10" x14ac:dyDescent="0.3">
      <c r="A38" s="22">
        <v>46302</v>
      </c>
      <c r="B38" s="23" t="s">
        <v>86</v>
      </c>
      <c r="C38" s="23" t="s">
        <v>51</v>
      </c>
      <c r="D38" s="23" t="s">
        <v>53</v>
      </c>
      <c r="E38" s="24" t="s">
        <v>102</v>
      </c>
      <c r="F38" s="23">
        <v>60</v>
      </c>
      <c r="G38" s="23"/>
      <c r="H38" s="23" t="s">
        <v>85</v>
      </c>
      <c r="I38" s="24"/>
      <c r="J38" s="24"/>
    </row>
    <row r="39" spans="1:10" x14ac:dyDescent="0.3">
      <c r="A39" s="22">
        <v>46303</v>
      </c>
      <c r="B39" s="26" t="s">
        <v>88</v>
      </c>
      <c r="C39" s="26" t="s">
        <v>51</v>
      </c>
      <c r="D39" s="26" t="s">
        <v>53</v>
      </c>
      <c r="E39" s="27" t="s">
        <v>103</v>
      </c>
      <c r="F39" s="26">
        <v>60</v>
      </c>
      <c r="G39" s="26"/>
      <c r="H39" s="26" t="s">
        <v>85</v>
      </c>
      <c r="I39" s="27"/>
      <c r="J39" s="27"/>
    </row>
    <row r="40" spans="1:10" ht="27.6" x14ac:dyDescent="0.3">
      <c r="A40" s="22">
        <v>46304</v>
      </c>
      <c r="B40" s="23" t="s">
        <v>90</v>
      </c>
      <c r="C40" s="23" t="s">
        <v>51</v>
      </c>
      <c r="D40" s="23" t="s">
        <v>53</v>
      </c>
      <c r="E40" s="24" t="s">
        <v>98</v>
      </c>
      <c r="F40" s="23">
        <v>60</v>
      </c>
      <c r="G40" s="23"/>
      <c r="H40" s="23" t="s">
        <v>85</v>
      </c>
      <c r="I40" s="24"/>
      <c r="J40" s="24"/>
    </row>
    <row r="41" spans="1:10" x14ac:dyDescent="0.3">
      <c r="A41" s="22">
        <v>46305</v>
      </c>
      <c r="B41" s="26" t="s">
        <v>92</v>
      </c>
      <c r="C41" s="26" t="s">
        <v>51</v>
      </c>
      <c r="D41" s="26" t="s">
        <v>53</v>
      </c>
      <c r="E41" s="27" t="s">
        <v>99</v>
      </c>
      <c r="F41" s="26">
        <v>60</v>
      </c>
      <c r="G41" s="26"/>
      <c r="H41" s="26" t="s">
        <v>85</v>
      </c>
      <c r="I41" s="27"/>
      <c r="J41" s="27"/>
    </row>
    <row r="42" spans="1:10" x14ac:dyDescent="0.3">
      <c r="A42" s="22">
        <v>46306</v>
      </c>
      <c r="B42" s="23" t="s">
        <v>94</v>
      </c>
      <c r="C42" s="23" t="s">
        <v>51</v>
      </c>
      <c r="D42" s="23" t="s">
        <v>53</v>
      </c>
      <c r="E42" s="24" t="s">
        <v>100</v>
      </c>
      <c r="F42" s="23">
        <v>60</v>
      </c>
      <c r="G42" s="23"/>
      <c r="H42" s="23" t="s">
        <v>85</v>
      </c>
      <c r="I42" s="24"/>
      <c r="J42" s="24"/>
    </row>
    <row r="43" spans="1:10" x14ac:dyDescent="0.3">
      <c r="A43" s="22">
        <v>46307</v>
      </c>
      <c r="B43" s="26" t="s">
        <v>96</v>
      </c>
      <c r="C43" s="26" t="s">
        <v>51</v>
      </c>
      <c r="D43" s="26" t="s">
        <v>53</v>
      </c>
      <c r="E43" s="27" t="s">
        <v>97</v>
      </c>
      <c r="F43" s="26">
        <v>30</v>
      </c>
      <c r="G43" s="26"/>
      <c r="H43" s="26" t="s">
        <v>85</v>
      </c>
      <c r="I43" s="27"/>
      <c r="J43" s="27"/>
    </row>
    <row r="44" spans="1:10" x14ac:dyDescent="0.3">
      <c r="A44" s="22">
        <v>46308</v>
      </c>
      <c r="B44" s="23" t="s">
        <v>83</v>
      </c>
      <c r="C44" s="23" t="s">
        <v>51</v>
      </c>
      <c r="D44" s="23" t="s">
        <v>53</v>
      </c>
      <c r="E44" s="24" t="s">
        <v>101</v>
      </c>
      <c r="F44" s="23">
        <v>60</v>
      </c>
      <c r="G44" s="23"/>
      <c r="H44" s="23" t="s">
        <v>85</v>
      </c>
      <c r="I44" s="24"/>
      <c r="J44" s="24"/>
    </row>
    <row r="45" spans="1:10" x14ac:dyDescent="0.3">
      <c r="A45" s="22">
        <v>46309</v>
      </c>
      <c r="B45" s="26" t="s">
        <v>86</v>
      </c>
      <c r="C45" s="26" t="s">
        <v>51</v>
      </c>
      <c r="D45" s="26" t="s">
        <v>53</v>
      </c>
      <c r="E45" s="27" t="s">
        <v>102</v>
      </c>
      <c r="F45" s="26">
        <v>60</v>
      </c>
      <c r="G45" s="26"/>
      <c r="H45" s="26" t="s">
        <v>85</v>
      </c>
      <c r="I45" s="27"/>
      <c r="J45" s="27"/>
    </row>
    <row r="46" spans="1:10" x14ac:dyDescent="0.3">
      <c r="A46" s="22">
        <v>46310</v>
      </c>
      <c r="B46" s="23" t="s">
        <v>88</v>
      </c>
      <c r="C46" s="23" t="s">
        <v>51</v>
      </c>
      <c r="D46" s="23" t="s">
        <v>53</v>
      </c>
      <c r="E46" s="24" t="s">
        <v>103</v>
      </c>
      <c r="F46" s="23">
        <v>60</v>
      </c>
      <c r="G46" s="23"/>
      <c r="H46" s="23" t="s">
        <v>85</v>
      </c>
      <c r="I46" s="24"/>
      <c r="J46" s="24"/>
    </row>
    <row r="47" spans="1:10" ht="27.6" x14ac:dyDescent="0.3">
      <c r="A47" s="22">
        <v>46311</v>
      </c>
      <c r="B47" s="26" t="s">
        <v>90</v>
      </c>
      <c r="C47" s="26" t="s">
        <v>51</v>
      </c>
      <c r="D47" s="26" t="s">
        <v>53</v>
      </c>
      <c r="E47" s="27" t="s">
        <v>98</v>
      </c>
      <c r="F47" s="26">
        <v>60</v>
      </c>
      <c r="G47" s="26"/>
      <c r="H47" s="26" t="s">
        <v>85</v>
      </c>
      <c r="I47" s="27"/>
      <c r="J47" s="27"/>
    </row>
    <row r="48" spans="1:10" x14ac:dyDescent="0.3">
      <c r="A48" s="22">
        <v>46312</v>
      </c>
      <c r="B48" s="23" t="s">
        <v>92</v>
      </c>
      <c r="C48" s="23" t="s">
        <v>51</v>
      </c>
      <c r="D48" s="23" t="s">
        <v>53</v>
      </c>
      <c r="E48" s="24" t="s">
        <v>99</v>
      </c>
      <c r="F48" s="23">
        <v>60</v>
      </c>
      <c r="G48" s="23"/>
      <c r="H48" s="23" t="s">
        <v>85</v>
      </c>
      <c r="I48" s="24"/>
      <c r="J48" s="24"/>
    </row>
    <row r="49" spans="1:10" x14ac:dyDescent="0.3">
      <c r="A49" s="22">
        <v>46313</v>
      </c>
      <c r="B49" s="26" t="s">
        <v>94</v>
      </c>
      <c r="C49" s="26" t="s">
        <v>51</v>
      </c>
      <c r="D49" s="26" t="s">
        <v>53</v>
      </c>
      <c r="E49" s="27" t="s">
        <v>100</v>
      </c>
      <c r="F49" s="26">
        <v>60</v>
      </c>
      <c r="G49" s="26"/>
      <c r="H49" s="26" t="s">
        <v>85</v>
      </c>
      <c r="I49" s="27"/>
      <c r="J49" s="27"/>
    </row>
    <row r="50" spans="1:10" x14ac:dyDescent="0.3">
      <c r="A50" s="22">
        <v>46314</v>
      </c>
      <c r="B50" s="23" t="s">
        <v>96</v>
      </c>
      <c r="C50" s="23" t="s">
        <v>51</v>
      </c>
      <c r="D50" s="23" t="s">
        <v>53</v>
      </c>
      <c r="E50" s="24" t="s">
        <v>97</v>
      </c>
      <c r="F50" s="23">
        <v>30</v>
      </c>
      <c r="G50" s="23"/>
      <c r="H50" s="23" t="s">
        <v>85</v>
      </c>
      <c r="I50" s="24"/>
      <c r="J50" s="24"/>
    </row>
    <row r="51" spans="1:10" x14ac:dyDescent="0.3">
      <c r="A51" s="22">
        <v>46315</v>
      </c>
      <c r="B51" s="26" t="s">
        <v>83</v>
      </c>
      <c r="C51" s="26" t="s">
        <v>51</v>
      </c>
      <c r="D51" s="26" t="s">
        <v>53</v>
      </c>
      <c r="E51" s="27" t="s">
        <v>101</v>
      </c>
      <c r="F51" s="26">
        <v>60</v>
      </c>
      <c r="G51" s="26"/>
      <c r="H51" s="26" t="s">
        <v>85</v>
      </c>
      <c r="I51" s="27"/>
      <c r="J51" s="27"/>
    </row>
    <row r="52" spans="1:10" x14ac:dyDescent="0.3">
      <c r="A52" s="22">
        <v>46316</v>
      </c>
      <c r="B52" s="23" t="s">
        <v>86</v>
      </c>
      <c r="C52" s="23" t="s">
        <v>51</v>
      </c>
      <c r="D52" s="23" t="s">
        <v>53</v>
      </c>
      <c r="E52" s="24" t="s">
        <v>102</v>
      </c>
      <c r="F52" s="23">
        <v>60</v>
      </c>
      <c r="G52" s="23"/>
      <c r="H52" s="23" t="s">
        <v>85</v>
      </c>
      <c r="I52" s="24"/>
      <c r="J52" s="24"/>
    </row>
    <row r="53" spans="1:10" x14ac:dyDescent="0.3">
      <c r="A53" s="22">
        <v>46317</v>
      </c>
      <c r="B53" s="26" t="s">
        <v>88</v>
      </c>
      <c r="C53" s="26" t="s">
        <v>51</v>
      </c>
      <c r="D53" s="26" t="s">
        <v>53</v>
      </c>
      <c r="E53" s="27" t="s">
        <v>103</v>
      </c>
      <c r="F53" s="26">
        <v>60</v>
      </c>
      <c r="G53" s="26"/>
      <c r="H53" s="26" t="s">
        <v>85</v>
      </c>
      <c r="I53" s="27"/>
      <c r="J53" s="27"/>
    </row>
    <row r="54" spans="1:10" ht="27.6" x14ac:dyDescent="0.3">
      <c r="A54" s="22">
        <v>46318</v>
      </c>
      <c r="B54" s="23" t="s">
        <v>90</v>
      </c>
      <c r="C54" s="23" t="s">
        <v>51</v>
      </c>
      <c r="D54" s="23" t="s">
        <v>53</v>
      </c>
      <c r="E54" s="24" t="s">
        <v>98</v>
      </c>
      <c r="F54" s="23">
        <v>60</v>
      </c>
      <c r="G54" s="23"/>
      <c r="H54" s="23" t="s">
        <v>85</v>
      </c>
      <c r="I54" s="24"/>
      <c r="J54" s="24"/>
    </row>
    <row r="55" spans="1:10" x14ac:dyDescent="0.3">
      <c r="A55" s="22">
        <v>46319</v>
      </c>
      <c r="B55" s="26" t="s">
        <v>92</v>
      </c>
      <c r="C55" s="26" t="s">
        <v>51</v>
      </c>
      <c r="D55" s="26" t="s">
        <v>53</v>
      </c>
      <c r="E55" s="27" t="s">
        <v>99</v>
      </c>
      <c r="F55" s="26">
        <v>60</v>
      </c>
      <c r="G55" s="26"/>
      <c r="H55" s="26" t="s">
        <v>85</v>
      </c>
      <c r="I55" s="27"/>
      <c r="J55" s="27"/>
    </row>
    <row r="56" spans="1:10" x14ac:dyDescent="0.3">
      <c r="A56" s="22">
        <v>46320</v>
      </c>
      <c r="B56" s="23" t="s">
        <v>94</v>
      </c>
      <c r="C56" s="23" t="s">
        <v>51</v>
      </c>
      <c r="D56" s="23" t="s">
        <v>53</v>
      </c>
      <c r="E56" s="24" t="s">
        <v>100</v>
      </c>
      <c r="F56" s="23">
        <v>60</v>
      </c>
      <c r="G56" s="23"/>
      <c r="H56" s="23" t="s">
        <v>85</v>
      </c>
      <c r="I56" s="24"/>
      <c r="J56" s="24"/>
    </row>
    <row r="57" spans="1:10" x14ac:dyDescent="0.3">
      <c r="A57" s="22">
        <v>46321</v>
      </c>
      <c r="B57" s="26" t="s">
        <v>96</v>
      </c>
      <c r="C57" s="26" t="s">
        <v>51</v>
      </c>
      <c r="D57" s="26" t="s">
        <v>53</v>
      </c>
      <c r="E57" s="27" t="s">
        <v>97</v>
      </c>
      <c r="F57" s="26">
        <v>30</v>
      </c>
      <c r="G57" s="26"/>
      <c r="H57" s="26" t="s">
        <v>85</v>
      </c>
      <c r="I57" s="27"/>
      <c r="J57" s="27"/>
    </row>
    <row r="58" spans="1:10" x14ac:dyDescent="0.3">
      <c r="A58" s="22">
        <v>46322</v>
      </c>
      <c r="B58" s="23" t="s">
        <v>83</v>
      </c>
      <c r="C58" s="23" t="s">
        <v>51</v>
      </c>
      <c r="D58" s="23" t="s">
        <v>53</v>
      </c>
      <c r="E58" s="24" t="s">
        <v>101</v>
      </c>
      <c r="F58" s="23">
        <v>60</v>
      </c>
      <c r="G58" s="23"/>
      <c r="H58" s="23" t="s">
        <v>85</v>
      </c>
      <c r="I58" s="24"/>
      <c r="J58" s="24"/>
    </row>
    <row r="59" spans="1:10" x14ac:dyDescent="0.3">
      <c r="A59" s="22">
        <v>46323</v>
      </c>
      <c r="B59" s="26" t="s">
        <v>86</v>
      </c>
      <c r="C59" s="26" t="s">
        <v>51</v>
      </c>
      <c r="D59" s="26" t="s">
        <v>53</v>
      </c>
      <c r="E59" s="27" t="s">
        <v>102</v>
      </c>
      <c r="F59" s="26">
        <v>60</v>
      </c>
      <c r="G59" s="26"/>
      <c r="H59" s="26" t="s">
        <v>85</v>
      </c>
      <c r="I59" s="27"/>
      <c r="J59" s="27"/>
    </row>
    <row r="60" spans="1:10" x14ac:dyDescent="0.3">
      <c r="A60" s="22">
        <v>46324</v>
      </c>
      <c r="B60" s="23" t="s">
        <v>88</v>
      </c>
      <c r="C60" s="23" t="s">
        <v>51</v>
      </c>
      <c r="D60" s="23" t="s">
        <v>53</v>
      </c>
      <c r="E60" s="24" t="s">
        <v>103</v>
      </c>
      <c r="F60" s="23">
        <v>60</v>
      </c>
      <c r="G60" s="23"/>
      <c r="H60" s="23" t="s">
        <v>85</v>
      </c>
      <c r="I60" s="24"/>
      <c r="J60" s="24"/>
    </row>
    <row r="61" spans="1:10" ht="27.6" x14ac:dyDescent="0.3">
      <c r="A61" s="22">
        <v>46325</v>
      </c>
      <c r="B61" s="26" t="s">
        <v>90</v>
      </c>
      <c r="C61" s="26" t="s">
        <v>51</v>
      </c>
      <c r="D61" s="26" t="s">
        <v>53</v>
      </c>
      <c r="E61" s="27" t="s">
        <v>98</v>
      </c>
      <c r="F61" s="26">
        <v>60</v>
      </c>
      <c r="G61" s="26"/>
      <c r="H61" s="26" t="s">
        <v>85</v>
      </c>
      <c r="I61" s="27"/>
      <c r="J61" s="27"/>
    </row>
    <row r="62" spans="1:10" x14ac:dyDescent="0.3">
      <c r="A62" s="22">
        <v>46326</v>
      </c>
      <c r="B62" s="23" t="s">
        <v>92</v>
      </c>
      <c r="C62" s="23" t="s">
        <v>51</v>
      </c>
      <c r="D62" s="23" t="s">
        <v>53</v>
      </c>
      <c r="E62" s="24" t="s">
        <v>99</v>
      </c>
      <c r="F62" s="23">
        <v>60</v>
      </c>
      <c r="G62" s="23"/>
      <c r="H62" s="23" t="s">
        <v>85</v>
      </c>
      <c r="I62" s="24"/>
      <c r="J62" s="24"/>
    </row>
    <row r="63" spans="1:10" x14ac:dyDescent="0.3">
      <c r="A63" s="22">
        <v>46327</v>
      </c>
      <c r="B63" s="26" t="s">
        <v>94</v>
      </c>
      <c r="C63" s="26" t="s">
        <v>56</v>
      </c>
      <c r="D63" s="26" t="s">
        <v>58</v>
      </c>
      <c r="E63" s="27" t="s">
        <v>100</v>
      </c>
      <c r="F63" s="26">
        <v>60</v>
      </c>
      <c r="G63" s="26"/>
      <c r="H63" s="26" t="s">
        <v>85</v>
      </c>
      <c r="I63" s="27"/>
      <c r="J63" s="27"/>
    </row>
    <row r="64" spans="1:10" x14ac:dyDescent="0.3">
      <c r="A64" s="22">
        <v>46328</v>
      </c>
      <c r="B64" s="23" t="s">
        <v>96</v>
      </c>
      <c r="C64" s="23" t="s">
        <v>56</v>
      </c>
      <c r="D64" s="23" t="s">
        <v>58</v>
      </c>
      <c r="E64" s="24" t="s">
        <v>97</v>
      </c>
      <c r="F64" s="23">
        <v>30</v>
      </c>
      <c r="G64" s="23"/>
      <c r="H64" s="23" t="s">
        <v>85</v>
      </c>
      <c r="I64" s="24"/>
      <c r="J64" s="24"/>
    </row>
    <row r="65" spans="1:10" x14ac:dyDescent="0.3">
      <c r="A65" s="22">
        <v>46329</v>
      </c>
      <c r="B65" s="26" t="s">
        <v>83</v>
      </c>
      <c r="C65" s="26" t="s">
        <v>56</v>
      </c>
      <c r="D65" s="26" t="s">
        <v>58</v>
      </c>
      <c r="E65" s="27" t="s">
        <v>104</v>
      </c>
      <c r="F65" s="26">
        <v>60</v>
      </c>
      <c r="G65" s="26"/>
      <c r="H65" s="26" t="s">
        <v>85</v>
      </c>
      <c r="I65" s="27"/>
      <c r="J65" s="27"/>
    </row>
    <row r="66" spans="1:10" x14ac:dyDescent="0.3">
      <c r="A66" s="22">
        <v>46330</v>
      </c>
      <c r="B66" s="23" t="s">
        <v>86</v>
      </c>
      <c r="C66" s="23" t="s">
        <v>56</v>
      </c>
      <c r="D66" s="23" t="s">
        <v>58</v>
      </c>
      <c r="E66" s="24" t="s">
        <v>105</v>
      </c>
      <c r="F66" s="23">
        <v>60</v>
      </c>
      <c r="G66" s="23"/>
      <c r="H66" s="23" t="s">
        <v>85</v>
      </c>
      <c r="I66" s="24"/>
      <c r="J66" s="24"/>
    </row>
    <row r="67" spans="1:10" x14ac:dyDescent="0.3">
      <c r="A67" s="22">
        <v>46331</v>
      </c>
      <c r="B67" s="26" t="s">
        <v>88</v>
      </c>
      <c r="C67" s="26" t="s">
        <v>56</v>
      </c>
      <c r="D67" s="26" t="s">
        <v>58</v>
      </c>
      <c r="E67" s="27" t="s">
        <v>106</v>
      </c>
      <c r="F67" s="26">
        <v>60</v>
      </c>
      <c r="G67" s="26"/>
      <c r="H67" s="26" t="s">
        <v>85</v>
      </c>
      <c r="I67" s="27"/>
      <c r="J67" s="27"/>
    </row>
    <row r="68" spans="1:10" x14ac:dyDescent="0.3">
      <c r="A68" s="22">
        <v>46332</v>
      </c>
      <c r="B68" s="23" t="s">
        <v>90</v>
      </c>
      <c r="C68" s="23" t="s">
        <v>56</v>
      </c>
      <c r="D68" s="23" t="s">
        <v>58</v>
      </c>
      <c r="E68" s="24" t="s">
        <v>107</v>
      </c>
      <c r="F68" s="23">
        <v>60</v>
      </c>
      <c r="G68" s="23"/>
      <c r="H68" s="23" t="s">
        <v>85</v>
      </c>
      <c r="I68" s="24"/>
      <c r="J68" s="24"/>
    </row>
    <row r="69" spans="1:10" x14ac:dyDescent="0.3">
      <c r="A69" s="22">
        <v>46333</v>
      </c>
      <c r="B69" s="26" t="s">
        <v>92</v>
      </c>
      <c r="C69" s="26" t="s">
        <v>56</v>
      </c>
      <c r="D69" s="26" t="s">
        <v>58</v>
      </c>
      <c r="E69" s="27" t="s">
        <v>108</v>
      </c>
      <c r="F69" s="26">
        <v>60</v>
      </c>
      <c r="G69" s="26"/>
      <c r="H69" s="26" t="s">
        <v>85</v>
      </c>
      <c r="I69" s="27"/>
      <c r="J69" s="27"/>
    </row>
    <row r="70" spans="1:10" x14ac:dyDescent="0.3">
      <c r="A70" s="22">
        <v>46334</v>
      </c>
      <c r="B70" s="23" t="s">
        <v>94</v>
      </c>
      <c r="C70" s="23" t="s">
        <v>56</v>
      </c>
      <c r="D70" s="23" t="s">
        <v>58</v>
      </c>
      <c r="E70" s="24" t="s">
        <v>100</v>
      </c>
      <c r="F70" s="23">
        <v>60</v>
      </c>
      <c r="G70" s="23"/>
      <c r="H70" s="23" t="s">
        <v>85</v>
      </c>
      <c r="I70" s="24"/>
      <c r="J70" s="24"/>
    </row>
    <row r="71" spans="1:10" x14ac:dyDescent="0.3">
      <c r="A71" s="22">
        <v>46335</v>
      </c>
      <c r="B71" s="26" t="s">
        <v>96</v>
      </c>
      <c r="C71" s="26" t="s">
        <v>56</v>
      </c>
      <c r="D71" s="26" t="s">
        <v>58</v>
      </c>
      <c r="E71" s="27" t="s">
        <v>97</v>
      </c>
      <c r="F71" s="26">
        <v>30</v>
      </c>
      <c r="G71" s="26"/>
      <c r="H71" s="26" t="s">
        <v>85</v>
      </c>
      <c r="I71" s="27"/>
      <c r="J71" s="27"/>
    </row>
    <row r="72" spans="1:10" x14ac:dyDescent="0.3">
      <c r="A72" s="22">
        <v>46336</v>
      </c>
      <c r="B72" s="23" t="s">
        <v>83</v>
      </c>
      <c r="C72" s="23" t="s">
        <v>56</v>
      </c>
      <c r="D72" s="23" t="s">
        <v>58</v>
      </c>
      <c r="E72" s="24" t="s">
        <v>104</v>
      </c>
      <c r="F72" s="23">
        <v>60</v>
      </c>
      <c r="G72" s="23"/>
      <c r="H72" s="23" t="s">
        <v>85</v>
      </c>
      <c r="I72" s="24"/>
      <c r="J72" s="24"/>
    </row>
    <row r="73" spans="1:10" x14ac:dyDescent="0.3">
      <c r="A73" s="22">
        <v>46337</v>
      </c>
      <c r="B73" s="26" t="s">
        <v>86</v>
      </c>
      <c r="C73" s="26" t="s">
        <v>56</v>
      </c>
      <c r="D73" s="26" t="s">
        <v>58</v>
      </c>
      <c r="E73" s="27" t="s">
        <v>105</v>
      </c>
      <c r="F73" s="26">
        <v>60</v>
      </c>
      <c r="G73" s="26"/>
      <c r="H73" s="26" t="s">
        <v>85</v>
      </c>
      <c r="I73" s="27"/>
      <c r="J73" s="27"/>
    </row>
    <row r="74" spans="1:10" x14ac:dyDescent="0.3">
      <c r="A74" s="22">
        <v>46338</v>
      </c>
      <c r="B74" s="23" t="s">
        <v>88</v>
      </c>
      <c r="C74" s="23" t="s">
        <v>56</v>
      </c>
      <c r="D74" s="23" t="s">
        <v>58</v>
      </c>
      <c r="E74" s="24" t="s">
        <v>106</v>
      </c>
      <c r="F74" s="23">
        <v>60</v>
      </c>
      <c r="G74" s="23"/>
      <c r="H74" s="23" t="s">
        <v>85</v>
      </c>
      <c r="I74" s="24"/>
      <c r="J74" s="24"/>
    </row>
    <row r="75" spans="1:10" x14ac:dyDescent="0.3">
      <c r="A75" s="22">
        <v>46339</v>
      </c>
      <c r="B75" s="26" t="s">
        <v>90</v>
      </c>
      <c r="C75" s="26" t="s">
        <v>56</v>
      </c>
      <c r="D75" s="26" t="s">
        <v>58</v>
      </c>
      <c r="E75" s="27" t="s">
        <v>107</v>
      </c>
      <c r="F75" s="26">
        <v>60</v>
      </c>
      <c r="G75" s="26"/>
      <c r="H75" s="26" t="s">
        <v>85</v>
      </c>
      <c r="I75" s="27"/>
      <c r="J75" s="27"/>
    </row>
    <row r="76" spans="1:10" x14ac:dyDescent="0.3">
      <c r="A76" s="22">
        <v>46340</v>
      </c>
      <c r="B76" s="23" t="s">
        <v>92</v>
      </c>
      <c r="C76" s="23" t="s">
        <v>56</v>
      </c>
      <c r="D76" s="23" t="s">
        <v>58</v>
      </c>
      <c r="E76" s="24" t="s">
        <v>108</v>
      </c>
      <c r="F76" s="23">
        <v>60</v>
      </c>
      <c r="G76" s="23"/>
      <c r="H76" s="23" t="s">
        <v>85</v>
      </c>
      <c r="I76" s="24"/>
      <c r="J76" s="24"/>
    </row>
    <row r="77" spans="1:10" x14ac:dyDescent="0.3">
      <c r="A77" s="22">
        <v>46341</v>
      </c>
      <c r="B77" s="26" t="s">
        <v>94</v>
      </c>
      <c r="C77" s="26" t="s">
        <v>56</v>
      </c>
      <c r="D77" s="26" t="s">
        <v>58</v>
      </c>
      <c r="E77" s="27" t="s">
        <v>100</v>
      </c>
      <c r="F77" s="26">
        <v>60</v>
      </c>
      <c r="G77" s="26"/>
      <c r="H77" s="26" t="s">
        <v>85</v>
      </c>
      <c r="I77" s="27"/>
      <c r="J77" s="27"/>
    </row>
    <row r="78" spans="1:10" x14ac:dyDescent="0.3">
      <c r="A78" s="22">
        <v>46342</v>
      </c>
      <c r="B78" s="23" t="s">
        <v>96</v>
      </c>
      <c r="C78" s="23" t="s">
        <v>56</v>
      </c>
      <c r="D78" s="23" t="s">
        <v>58</v>
      </c>
      <c r="E78" s="24" t="s">
        <v>97</v>
      </c>
      <c r="F78" s="23">
        <v>30</v>
      </c>
      <c r="G78" s="23"/>
      <c r="H78" s="23" t="s">
        <v>85</v>
      </c>
      <c r="I78" s="24"/>
      <c r="J78" s="24"/>
    </row>
    <row r="79" spans="1:10" x14ac:dyDescent="0.3">
      <c r="A79" s="22">
        <v>46343</v>
      </c>
      <c r="B79" s="26" t="s">
        <v>83</v>
      </c>
      <c r="C79" s="26" t="s">
        <v>56</v>
      </c>
      <c r="D79" s="26" t="s">
        <v>58</v>
      </c>
      <c r="E79" s="27" t="s">
        <v>104</v>
      </c>
      <c r="F79" s="26">
        <v>60</v>
      </c>
      <c r="G79" s="26"/>
      <c r="H79" s="26" t="s">
        <v>85</v>
      </c>
      <c r="I79" s="27"/>
      <c r="J79" s="27"/>
    </row>
    <row r="80" spans="1:10" x14ac:dyDescent="0.3">
      <c r="A80" s="22">
        <v>46344</v>
      </c>
      <c r="B80" s="23" t="s">
        <v>86</v>
      </c>
      <c r="C80" s="23" t="s">
        <v>56</v>
      </c>
      <c r="D80" s="23" t="s">
        <v>58</v>
      </c>
      <c r="E80" s="24" t="s">
        <v>105</v>
      </c>
      <c r="F80" s="23">
        <v>60</v>
      </c>
      <c r="G80" s="23"/>
      <c r="H80" s="23" t="s">
        <v>85</v>
      </c>
      <c r="I80" s="24"/>
      <c r="J80" s="24"/>
    </row>
    <row r="81" spans="1:10" x14ac:dyDescent="0.3">
      <c r="A81" s="22">
        <v>46345</v>
      </c>
      <c r="B81" s="26" t="s">
        <v>88</v>
      </c>
      <c r="C81" s="26" t="s">
        <v>56</v>
      </c>
      <c r="D81" s="26" t="s">
        <v>58</v>
      </c>
      <c r="E81" s="27" t="s">
        <v>106</v>
      </c>
      <c r="F81" s="26">
        <v>60</v>
      </c>
      <c r="G81" s="26"/>
      <c r="H81" s="26" t="s">
        <v>85</v>
      </c>
      <c r="I81" s="27"/>
      <c r="J81" s="27"/>
    </row>
    <row r="82" spans="1:10" x14ac:dyDescent="0.3">
      <c r="A82" s="22">
        <v>46346</v>
      </c>
      <c r="B82" s="23" t="s">
        <v>90</v>
      </c>
      <c r="C82" s="23" t="s">
        <v>56</v>
      </c>
      <c r="D82" s="23" t="s">
        <v>58</v>
      </c>
      <c r="E82" s="24" t="s">
        <v>107</v>
      </c>
      <c r="F82" s="23">
        <v>60</v>
      </c>
      <c r="G82" s="23"/>
      <c r="H82" s="23" t="s">
        <v>85</v>
      </c>
      <c r="I82" s="24"/>
      <c r="J82" s="24"/>
    </row>
    <row r="83" spans="1:10" x14ac:dyDescent="0.3">
      <c r="A83" s="22">
        <v>46347</v>
      </c>
      <c r="B83" s="26" t="s">
        <v>92</v>
      </c>
      <c r="C83" s="26" t="s">
        <v>56</v>
      </c>
      <c r="D83" s="26" t="s">
        <v>58</v>
      </c>
      <c r="E83" s="27" t="s">
        <v>108</v>
      </c>
      <c r="F83" s="26">
        <v>60</v>
      </c>
      <c r="G83" s="26"/>
      <c r="H83" s="26" t="s">
        <v>85</v>
      </c>
      <c r="I83" s="27"/>
      <c r="J83" s="27"/>
    </row>
    <row r="84" spans="1:10" x14ac:dyDescent="0.3">
      <c r="A84" s="22">
        <v>46348</v>
      </c>
      <c r="B84" s="23" t="s">
        <v>94</v>
      </c>
      <c r="C84" s="23" t="s">
        <v>56</v>
      </c>
      <c r="D84" s="23" t="s">
        <v>58</v>
      </c>
      <c r="E84" s="24" t="s">
        <v>100</v>
      </c>
      <c r="F84" s="23">
        <v>60</v>
      </c>
      <c r="G84" s="23"/>
      <c r="H84" s="23" t="s">
        <v>85</v>
      </c>
      <c r="I84" s="24"/>
      <c r="J84" s="24"/>
    </row>
    <row r="85" spans="1:10" x14ac:dyDescent="0.3">
      <c r="A85" s="22">
        <v>46349</v>
      </c>
      <c r="B85" s="26" t="s">
        <v>96</v>
      </c>
      <c r="C85" s="26" t="s">
        <v>56</v>
      </c>
      <c r="D85" s="26" t="s">
        <v>58</v>
      </c>
      <c r="E85" s="27" t="s">
        <v>97</v>
      </c>
      <c r="F85" s="26">
        <v>30</v>
      </c>
      <c r="G85" s="26"/>
      <c r="H85" s="26" t="s">
        <v>85</v>
      </c>
      <c r="I85" s="27"/>
      <c r="J85" s="27"/>
    </row>
    <row r="86" spans="1:10" x14ac:dyDescent="0.3">
      <c r="A86" s="22">
        <v>46350</v>
      </c>
      <c r="B86" s="23" t="s">
        <v>83</v>
      </c>
      <c r="C86" s="23" t="s">
        <v>56</v>
      </c>
      <c r="D86" s="23" t="s">
        <v>58</v>
      </c>
      <c r="E86" s="24" t="s">
        <v>104</v>
      </c>
      <c r="F86" s="23">
        <v>60</v>
      </c>
      <c r="G86" s="23"/>
      <c r="H86" s="23" t="s">
        <v>85</v>
      </c>
      <c r="I86" s="24"/>
      <c r="J86" s="24"/>
    </row>
    <row r="87" spans="1:10" x14ac:dyDescent="0.3">
      <c r="A87" s="22">
        <v>46351</v>
      </c>
      <c r="B87" s="26" t="s">
        <v>86</v>
      </c>
      <c r="C87" s="26" t="s">
        <v>56</v>
      </c>
      <c r="D87" s="26" t="s">
        <v>58</v>
      </c>
      <c r="E87" s="27" t="s">
        <v>105</v>
      </c>
      <c r="F87" s="26">
        <v>60</v>
      </c>
      <c r="G87" s="26"/>
      <c r="H87" s="26" t="s">
        <v>85</v>
      </c>
      <c r="I87" s="27"/>
      <c r="J87" s="27"/>
    </row>
    <row r="88" spans="1:10" x14ac:dyDescent="0.3">
      <c r="A88" s="22">
        <v>46352</v>
      </c>
      <c r="B88" s="23" t="s">
        <v>88</v>
      </c>
      <c r="C88" s="23" t="s">
        <v>56</v>
      </c>
      <c r="D88" s="23" t="s">
        <v>58</v>
      </c>
      <c r="E88" s="24" t="s">
        <v>106</v>
      </c>
      <c r="F88" s="23">
        <v>60</v>
      </c>
      <c r="G88" s="23"/>
      <c r="H88" s="23" t="s">
        <v>85</v>
      </c>
      <c r="I88" s="24"/>
      <c r="J88" s="24"/>
    </row>
    <row r="89" spans="1:10" x14ac:dyDescent="0.3">
      <c r="A89" s="22">
        <v>46353</v>
      </c>
      <c r="B89" s="26" t="s">
        <v>90</v>
      </c>
      <c r="C89" s="26" t="s">
        <v>56</v>
      </c>
      <c r="D89" s="26" t="s">
        <v>58</v>
      </c>
      <c r="E89" s="27" t="s">
        <v>107</v>
      </c>
      <c r="F89" s="26">
        <v>60</v>
      </c>
      <c r="G89" s="26"/>
      <c r="H89" s="26" t="s">
        <v>85</v>
      </c>
      <c r="I89" s="27"/>
      <c r="J89" s="27"/>
    </row>
    <row r="90" spans="1:10" x14ac:dyDescent="0.3">
      <c r="A90" s="22">
        <v>46354</v>
      </c>
      <c r="B90" s="23" t="s">
        <v>92</v>
      </c>
      <c r="C90" s="23" t="s">
        <v>56</v>
      </c>
      <c r="D90" s="23" t="s">
        <v>58</v>
      </c>
      <c r="E90" s="24" t="s">
        <v>108</v>
      </c>
      <c r="F90" s="23">
        <v>60</v>
      </c>
      <c r="G90" s="23"/>
      <c r="H90" s="23" t="s">
        <v>85</v>
      </c>
      <c r="I90" s="24"/>
      <c r="J90" s="24"/>
    </row>
    <row r="91" spans="1:10" x14ac:dyDescent="0.3">
      <c r="A91" s="22">
        <v>46355</v>
      </c>
      <c r="B91" s="26" t="s">
        <v>94</v>
      </c>
      <c r="C91" s="26" t="s">
        <v>56</v>
      </c>
      <c r="D91" s="26" t="s">
        <v>58</v>
      </c>
      <c r="E91" s="27" t="s">
        <v>100</v>
      </c>
      <c r="F91" s="26">
        <v>60</v>
      </c>
      <c r="G91" s="26"/>
      <c r="H91" s="26" t="s">
        <v>85</v>
      </c>
      <c r="I91" s="27"/>
      <c r="J91" s="27"/>
    </row>
    <row r="92" spans="1:10" x14ac:dyDescent="0.3">
      <c r="A92" s="22">
        <v>46356</v>
      </c>
      <c r="B92" s="23" t="s">
        <v>96</v>
      </c>
      <c r="C92" s="23" t="s">
        <v>56</v>
      </c>
      <c r="D92" s="23" t="s">
        <v>58</v>
      </c>
      <c r="E92" s="24" t="s">
        <v>97</v>
      </c>
      <c r="F92" s="23">
        <v>30</v>
      </c>
      <c r="G92" s="23"/>
      <c r="H92" s="23" t="s">
        <v>85</v>
      </c>
      <c r="I92" s="24"/>
      <c r="J92" s="24"/>
    </row>
    <row r="93" spans="1:10" x14ac:dyDescent="0.3">
      <c r="A93" s="22">
        <v>46357</v>
      </c>
      <c r="B93" s="26" t="s">
        <v>83</v>
      </c>
      <c r="C93" s="23" t="s">
        <v>61</v>
      </c>
      <c r="D93" s="26" t="s">
        <v>58</v>
      </c>
      <c r="E93" s="27" t="s">
        <v>104</v>
      </c>
      <c r="F93" s="26">
        <v>60</v>
      </c>
      <c r="G93" s="26"/>
      <c r="H93" s="26" t="s">
        <v>85</v>
      </c>
      <c r="I93" s="27"/>
      <c r="J93" s="27"/>
    </row>
    <row r="94" spans="1:10" x14ac:dyDescent="0.3">
      <c r="A94" s="22">
        <v>46358</v>
      </c>
      <c r="B94" s="23" t="s">
        <v>86</v>
      </c>
      <c r="C94" s="23" t="s">
        <v>61</v>
      </c>
      <c r="D94" s="23" t="s">
        <v>63</v>
      </c>
      <c r="E94" s="24" t="s">
        <v>109</v>
      </c>
      <c r="F94" s="23">
        <v>60</v>
      </c>
      <c r="G94" s="23"/>
      <c r="H94" s="23" t="s">
        <v>85</v>
      </c>
      <c r="I94" s="24"/>
      <c r="J94" s="24"/>
    </row>
    <row r="95" spans="1:10" x14ac:dyDescent="0.3">
      <c r="A95" s="22">
        <v>46359</v>
      </c>
      <c r="B95" s="26" t="s">
        <v>88</v>
      </c>
      <c r="C95" s="26" t="s">
        <v>61</v>
      </c>
      <c r="D95" s="26" t="s">
        <v>63</v>
      </c>
      <c r="E95" s="27" t="s">
        <v>110</v>
      </c>
      <c r="F95" s="26">
        <v>60</v>
      </c>
      <c r="G95" s="26"/>
      <c r="H95" s="26" t="s">
        <v>85</v>
      </c>
      <c r="I95" s="27"/>
      <c r="J95" s="27"/>
    </row>
    <row r="96" spans="1:10" x14ac:dyDescent="0.3">
      <c r="A96" s="22">
        <v>46360</v>
      </c>
      <c r="B96" s="23" t="s">
        <v>90</v>
      </c>
      <c r="C96" s="23" t="s">
        <v>61</v>
      </c>
      <c r="D96" s="23" t="s">
        <v>63</v>
      </c>
      <c r="E96" s="24" t="s">
        <v>111</v>
      </c>
      <c r="F96" s="23">
        <v>60</v>
      </c>
      <c r="G96" s="23"/>
      <c r="H96" s="23" t="s">
        <v>85</v>
      </c>
      <c r="I96" s="24"/>
      <c r="J96" s="24"/>
    </row>
    <row r="97" spans="1:10" x14ac:dyDescent="0.3">
      <c r="A97" s="22">
        <v>46361</v>
      </c>
      <c r="B97" s="26" t="s">
        <v>92</v>
      </c>
      <c r="C97" s="26" t="s">
        <v>61</v>
      </c>
      <c r="D97" s="26" t="s">
        <v>63</v>
      </c>
      <c r="E97" s="27" t="s">
        <v>112</v>
      </c>
      <c r="F97" s="26">
        <v>60</v>
      </c>
      <c r="G97" s="26"/>
      <c r="H97" s="26" t="s">
        <v>85</v>
      </c>
      <c r="I97" s="27"/>
      <c r="J97" s="27"/>
    </row>
    <row r="98" spans="1:10" x14ac:dyDescent="0.3">
      <c r="A98" s="22">
        <v>46362</v>
      </c>
      <c r="B98" s="23" t="s">
        <v>94</v>
      </c>
      <c r="C98" s="23" t="s">
        <v>61</v>
      </c>
      <c r="D98" s="23" t="s">
        <v>63</v>
      </c>
      <c r="E98" s="24" t="s">
        <v>113</v>
      </c>
      <c r="F98" s="23">
        <v>60</v>
      </c>
      <c r="G98" s="23"/>
      <c r="H98" s="23" t="s">
        <v>85</v>
      </c>
      <c r="I98" s="24"/>
      <c r="J98" s="24"/>
    </row>
    <row r="99" spans="1:10" x14ac:dyDescent="0.3">
      <c r="A99" s="22">
        <v>46363</v>
      </c>
      <c r="B99" s="26" t="s">
        <v>96</v>
      </c>
      <c r="C99" s="26" t="s">
        <v>61</v>
      </c>
      <c r="D99" s="26" t="s">
        <v>63</v>
      </c>
      <c r="E99" s="27" t="s">
        <v>97</v>
      </c>
      <c r="F99" s="26">
        <v>30</v>
      </c>
      <c r="G99" s="26"/>
      <c r="H99" s="26" t="s">
        <v>85</v>
      </c>
      <c r="I99" s="27"/>
      <c r="J99" s="27"/>
    </row>
    <row r="100" spans="1:10" x14ac:dyDescent="0.3">
      <c r="A100" s="22">
        <v>46364</v>
      </c>
      <c r="B100" s="23" t="s">
        <v>83</v>
      </c>
      <c r="C100" s="23" t="s">
        <v>61</v>
      </c>
      <c r="D100" s="23" t="s">
        <v>63</v>
      </c>
      <c r="E100" s="24" t="s">
        <v>114</v>
      </c>
      <c r="F100" s="23">
        <v>60</v>
      </c>
      <c r="G100" s="23"/>
      <c r="H100" s="23" t="s">
        <v>85</v>
      </c>
      <c r="I100" s="24"/>
      <c r="J100" s="24"/>
    </row>
    <row r="101" spans="1:10" x14ac:dyDescent="0.3">
      <c r="A101" s="22">
        <v>46365</v>
      </c>
      <c r="B101" s="26" t="s">
        <v>86</v>
      </c>
      <c r="C101" s="26" t="s">
        <v>61</v>
      </c>
      <c r="D101" s="26" t="s">
        <v>63</v>
      </c>
      <c r="E101" s="27" t="s">
        <v>109</v>
      </c>
      <c r="F101" s="26">
        <v>60</v>
      </c>
      <c r="G101" s="26"/>
      <c r="H101" s="26" t="s">
        <v>85</v>
      </c>
      <c r="I101" s="27"/>
      <c r="J101" s="27"/>
    </row>
    <row r="102" spans="1:10" x14ac:dyDescent="0.3">
      <c r="A102" s="22">
        <v>46366</v>
      </c>
      <c r="B102" s="23" t="s">
        <v>88</v>
      </c>
      <c r="C102" s="23" t="s">
        <v>61</v>
      </c>
      <c r="D102" s="23" t="s">
        <v>63</v>
      </c>
      <c r="E102" s="24" t="s">
        <v>110</v>
      </c>
      <c r="F102" s="23">
        <v>60</v>
      </c>
      <c r="G102" s="23"/>
      <c r="H102" s="23" t="s">
        <v>85</v>
      </c>
      <c r="I102" s="24"/>
      <c r="J102" s="24"/>
    </row>
    <row r="103" spans="1:10" x14ac:dyDescent="0.3">
      <c r="A103" s="22">
        <v>46367</v>
      </c>
      <c r="B103" s="26" t="s">
        <v>90</v>
      </c>
      <c r="C103" s="26" t="s">
        <v>61</v>
      </c>
      <c r="D103" s="26" t="s">
        <v>63</v>
      </c>
      <c r="E103" s="27" t="s">
        <v>111</v>
      </c>
      <c r="F103" s="26">
        <v>60</v>
      </c>
      <c r="G103" s="26"/>
      <c r="H103" s="26" t="s">
        <v>85</v>
      </c>
      <c r="I103" s="27"/>
      <c r="J103" s="27"/>
    </row>
    <row r="104" spans="1:10" x14ac:dyDescent="0.3">
      <c r="A104" s="22">
        <v>46368</v>
      </c>
      <c r="B104" s="23" t="s">
        <v>92</v>
      </c>
      <c r="C104" s="23" t="s">
        <v>61</v>
      </c>
      <c r="D104" s="23" t="s">
        <v>63</v>
      </c>
      <c r="E104" s="24" t="s">
        <v>112</v>
      </c>
      <c r="F104" s="23">
        <v>60</v>
      </c>
      <c r="G104" s="23"/>
      <c r="H104" s="23" t="s">
        <v>85</v>
      </c>
      <c r="I104" s="24"/>
      <c r="J104" s="24"/>
    </row>
    <row r="105" spans="1:10" x14ac:dyDescent="0.3">
      <c r="A105" s="22">
        <v>46369</v>
      </c>
      <c r="B105" s="26" t="s">
        <v>94</v>
      </c>
      <c r="C105" s="26" t="s">
        <v>61</v>
      </c>
      <c r="D105" s="26" t="s">
        <v>63</v>
      </c>
      <c r="E105" s="27" t="s">
        <v>113</v>
      </c>
      <c r="F105" s="26">
        <v>60</v>
      </c>
      <c r="G105" s="26"/>
      <c r="H105" s="26" t="s">
        <v>85</v>
      </c>
      <c r="I105" s="27"/>
      <c r="J105" s="27"/>
    </row>
    <row r="106" spans="1:10" x14ac:dyDescent="0.3">
      <c r="A106" s="22">
        <v>46370</v>
      </c>
      <c r="B106" s="23" t="s">
        <v>96</v>
      </c>
      <c r="C106" s="23" t="s">
        <v>61</v>
      </c>
      <c r="D106" s="23" t="s">
        <v>63</v>
      </c>
      <c r="E106" s="24" t="s">
        <v>97</v>
      </c>
      <c r="F106" s="23">
        <v>30</v>
      </c>
      <c r="G106" s="23"/>
      <c r="H106" s="23" t="s">
        <v>85</v>
      </c>
      <c r="I106" s="24"/>
      <c r="J106" s="24"/>
    </row>
    <row r="107" spans="1:10" x14ac:dyDescent="0.3">
      <c r="A107" s="22">
        <v>46371</v>
      </c>
      <c r="B107" s="26" t="s">
        <v>83</v>
      </c>
      <c r="C107" s="26" t="s">
        <v>61</v>
      </c>
      <c r="D107" s="26" t="s">
        <v>63</v>
      </c>
      <c r="E107" s="27" t="s">
        <v>114</v>
      </c>
      <c r="F107" s="26">
        <v>60</v>
      </c>
      <c r="G107" s="26"/>
      <c r="H107" s="26" t="s">
        <v>85</v>
      </c>
      <c r="I107" s="27"/>
      <c r="J107" s="27"/>
    </row>
    <row r="108" spans="1:10" x14ac:dyDescent="0.3">
      <c r="A108" s="22">
        <v>46372</v>
      </c>
      <c r="B108" s="23" t="s">
        <v>86</v>
      </c>
      <c r="C108" s="23" t="s">
        <v>61</v>
      </c>
      <c r="D108" s="23" t="s">
        <v>63</v>
      </c>
      <c r="E108" s="24" t="s">
        <v>109</v>
      </c>
      <c r="F108" s="23">
        <v>60</v>
      </c>
      <c r="G108" s="23"/>
      <c r="H108" s="23" t="s">
        <v>85</v>
      </c>
      <c r="I108" s="24"/>
      <c r="J108" s="24"/>
    </row>
    <row r="109" spans="1:10" x14ac:dyDescent="0.3">
      <c r="A109" s="22">
        <v>46373</v>
      </c>
      <c r="B109" s="26" t="s">
        <v>88</v>
      </c>
      <c r="C109" s="26" t="s">
        <v>61</v>
      </c>
      <c r="D109" s="26" t="s">
        <v>63</v>
      </c>
      <c r="E109" s="27" t="s">
        <v>110</v>
      </c>
      <c r="F109" s="26">
        <v>60</v>
      </c>
      <c r="G109" s="26"/>
      <c r="H109" s="26" t="s">
        <v>85</v>
      </c>
      <c r="I109" s="27"/>
      <c r="J109" s="27"/>
    </row>
    <row r="110" spans="1:10" x14ac:dyDescent="0.3">
      <c r="A110" s="22">
        <v>46374</v>
      </c>
      <c r="B110" s="23" t="s">
        <v>90</v>
      </c>
      <c r="C110" s="23" t="s">
        <v>61</v>
      </c>
      <c r="D110" s="23" t="s">
        <v>63</v>
      </c>
      <c r="E110" s="24" t="s">
        <v>111</v>
      </c>
      <c r="F110" s="23">
        <v>60</v>
      </c>
      <c r="G110" s="23"/>
      <c r="H110" s="23" t="s">
        <v>85</v>
      </c>
      <c r="I110" s="24"/>
      <c r="J110" s="24"/>
    </row>
    <row r="111" spans="1:10" x14ac:dyDescent="0.3">
      <c r="A111" s="22">
        <v>46375</v>
      </c>
      <c r="B111" s="26" t="s">
        <v>92</v>
      </c>
      <c r="C111" s="26" t="s">
        <v>61</v>
      </c>
      <c r="D111" s="26" t="s">
        <v>63</v>
      </c>
      <c r="E111" s="27" t="s">
        <v>112</v>
      </c>
      <c r="F111" s="26">
        <v>60</v>
      </c>
      <c r="G111" s="26"/>
      <c r="H111" s="26" t="s">
        <v>85</v>
      </c>
      <c r="I111" s="27"/>
      <c r="J111" s="27"/>
    </row>
    <row r="112" spans="1:10" x14ac:dyDescent="0.3">
      <c r="A112" s="22">
        <v>46376</v>
      </c>
      <c r="B112" s="23" t="s">
        <v>94</v>
      </c>
      <c r="C112" s="23" t="s">
        <v>61</v>
      </c>
      <c r="D112" s="23" t="s">
        <v>63</v>
      </c>
      <c r="E112" s="24" t="s">
        <v>113</v>
      </c>
      <c r="F112" s="23">
        <v>60</v>
      </c>
      <c r="G112" s="23"/>
      <c r="H112" s="23" t="s">
        <v>85</v>
      </c>
      <c r="I112" s="24"/>
      <c r="J112" s="24"/>
    </row>
    <row r="113" spans="1:10" x14ac:dyDescent="0.3">
      <c r="A113" s="22">
        <v>46377</v>
      </c>
      <c r="B113" s="26" t="s">
        <v>96</v>
      </c>
      <c r="C113" s="26" t="s">
        <v>61</v>
      </c>
      <c r="D113" s="26" t="s">
        <v>63</v>
      </c>
      <c r="E113" s="27" t="s">
        <v>97</v>
      </c>
      <c r="F113" s="26">
        <v>30</v>
      </c>
      <c r="G113" s="26"/>
      <c r="H113" s="26" t="s">
        <v>85</v>
      </c>
      <c r="I113" s="27"/>
      <c r="J113" s="27"/>
    </row>
    <row r="114" spans="1:10" x14ac:dyDescent="0.3">
      <c r="A114" s="22">
        <v>46378</v>
      </c>
      <c r="B114" s="23" t="s">
        <v>83</v>
      </c>
      <c r="C114" s="23" t="s">
        <v>61</v>
      </c>
      <c r="D114" s="23" t="s">
        <v>63</v>
      </c>
      <c r="E114" s="24" t="s">
        <v>114</v>
      </c>
      <c r="F114" s="23">
        <v>60</v>
      </c>
      <c r="G114" s="23"/>
      <c r="H114" s="23" t="s">
        <v>85</v>
      </c>
      <c r="I114" s="24"/>
      <c r="J114" s="24"/>
    </row>
    <row r="115" spans="1:10" x14ac:dyDescent="0.3">
      <c r="A115" s="22">
        <v>46379</v>
      </c>
      <c r="B115" s="26" t="s">
        <v>86</v>
      </c>
      <c r="C115" s="26" t="s">
        <v>61</v>
      </c>
      <c r="D115" s="26" t="s">
        <v>63</v>
      </c>
      <c r="E115" s="27" t="s">
        <v>109</v>
      </c>
      <c r="F115" s="26">
        <v>60</v>
      </c>
      <c r="G115" s="26"/>
      <c r="H115" s="26" t="s">
        <v>85</v>
      </c>
      <c r="I115" s="27"/>
      <c r="J115" s="27"/>
    </row>
    <row r="116" spans="1:10" x14ac:dyDescent="0.3">
      <c r="A116" s="22">
        <v>46380</v>
      </c>
      <c r="B116" s="23" t="s">
        <v>88</v>
      </c>
      <c r="C116" s="23" t="s">
        <v>61</v>
      </c>
      <c r="D116" s="23" t="s">
        <v>63</v>
      </c>
      <c r="E116" s="24" t="s">
        <v>110</v>
      </c>
      <c r="F116" s="23">
        <v>60</v>
      </c>
      <c r="G116" s="23"/>
      <c r="H116" s="23" t="s">
        <v>85</v>
      </c>
      <c r="I116" s="24"/>
      <c r="J116" s="24"/>
    </row>
    <row r="117" spans="1:10" x14ac:dyDescent="0.3">
      <c r="A117" s="22">
        <v>46381</v>
      </c>
      <c r="B117" s="26" t="s">
        <v>90</v>
      </c>
      <c r="C117" s="26" t="s">
        <v>61</v>
      </c>
      <c r="D117" s="26" t="s">
        <v>63</v>
      </c>
      <c r="E117" s="27" t="s">
        <v>111</v>
      </c>
      <c r="F117" s="26">
        <v>60</v>
      </c>
      <c r="G117" s="26"/>
      <c r="H117" s="26" t="s">
        <v>85</v>
      </c>
      <c r="I117" s="27"/>
      <c r="J117" s="27"/>
    </row>
    <row r="118" spans="1:10" x14ac:dyDescent="0.3">
      <c r="A118" s="22">
        <v>46382</v>
      </c>
      <c r="B118" s="23" t="s">
        <v>92</v>
      </c>
      <c r="C118" s="23" t="s">
        <v>61</v>
      </c>
      <c r="D118" s="23" t="s">
        <v>63</v>
      </c>
      <c r="E118" s="24" t="s">
        <v>112</v>
      </c>
      <c r="F118" s="23">
        <v>60</v>
      </c>
      <c r="G118" s="23"/>
      <c r="H118" s="23" t="s">
        <v>85</v>
      </c>
      <c r="I118" s="24"/>
      <c r="J118" s="24"/>
    </row>
    <row r="119" spans="1:10" x14ac:dyDescent="0.3">
      <c r="A119" s="22">
        <v>46383</v>
      </c>
      <c r="B119" s="26" t="s">
        <v>94</v>
      </c>
      <c r="C119" s="26" t="s">
        <v>61</v>
      </c>
      <c r="D119" s="26" t="s">
        <v>63</v>
      </c>
      <c r="E119" s="27" t="s">
        <v>113</v>
      </c>
      <c r="F119" s="26">
        <v>60</v>
      </c>
      <c r="G119" s="26"/>
      <c r="H119" s="26" t="s">
        <v>85</v>
      </c>
      <c r="I119" s="27"/>
      <c r="J119" s="27"/>
    </row>
    <row r="120" spans="1:10" x14ac:dyDescent="0.3">
      <c r="A120" s="22">
        <v>46384</v>
      </c>
      <c r="B120" s="23" t="s">
        <v>96</v>
      </c>
      <c r="C120" s="23" t="s">
        <v>61</v>
      </c>
      <c r="D120" s="23" t="s">
        <v>63</v>
      </c>
      <c r="E120" s="24" t="s">
        <v>97</v>
      </c>
      <c r="F120" s="23">
        <v>30</v>
      </c>
      <c r="G120" s="23"/>
      <c r="H120" s="23" t="s">
        <v>85</v>
      </c>
      <c r="I120" s="24"/>
      <c r="J120" s="24"/>
    </row>
    <row r="121" spans="1:10" x14ac:dyDescent="0.3">
      <c r="A121" s="22">
        <v>46385</v>
      </c>
      <c r="B121" s="26" t="s">
        <v>83</v>
      </c>
      <c r="C121" s="26" t="s">
        <v>61</v>
      </c>
      <c r="D121" s="26" t="s">
        <v>63</v>
      </c>
      <c r="E121" s="27" t="s">
        <v>114</v>
      </c>
      <c r="F121" s="26">
        <v>60</v>
      </c>
      <c r="G121" s="26"/>
      <c r="H121" s="26" t="s">
        <v>85</v>
      </c>
      <c r="I121" s="27"/>
      <c r="J121" s="27"/>
    </row>
    <row r="122" spans="1:10" x14ac:dyDescent="0.3">
      <c r="A122" s="22">
        <v>46386</v>
      </c>
      <c r="B122" s="23" t="s">
        <v>86</v>
      </c>
      <c r="C122" s="23" t="s">
        <v>61</v>
      </c>
      <c r="D122" s="23" t="s">
        <v>63</v>
      </c>
      <c r="E122" s="24" t="s">
        <v>109</v>
      </c>
      <c r="F122" s="23">
        <v>60</v>
      </c>
      <c r="G122" s="23"/>
      <c r="H122" s="23" t="s">
        <v>85</v>
      </c>
      <c r="I122" s="24"/>
      <c r="J122" s="24"/>
    </row>
    <row r="123" spans="1:10" x14ac:dyDescent="0.3">
      <c r="A123" s="22">
        <v>46387</v>
      </c>
      <c r="B123" s="26" t="s">
        <v>88</v>
      </c>
      <c r="C123" s="26" t="s">
        <v>61</v>
      </c>
      <c r="D123" s="26" t="s">
        <v>63</v>
      </c>
      <c r="E123" s="27" t="s">
        <v>110</v>
      </c>
      <c r="F123" s="26">
        <v>60</v>
      </c>
      <c r="G123" s="26"/>
      <c r="H123" s="26" t="s">
        <v>85</v>
      </c>
      <c r="I123" s="27"/>
      <c r="J123" s="27"/>
    </row>
    <row r="124" spans="1:10" x14ac:dyDescent="0.3">
      <c r="A124" s="22">
        <v>46388</v>
      </c>
      <c r="B124" s="23" t="s">
        <v>90</v>
      </c>
      <c r="C124" s="23" t="s">
        <v>66</v>
      </c>
      <c r="D124" s="23" t="s">
        <v>68</v>
      </c>
      <c r="E124" s="24" t="s">
        <v>115</v>
      </c>
      <c r="F124" s="23">
        <v>60</v>
      </c>
      <c r="G124" s="23"/>
      <c r="H124" s="23" t="s">
        <v>85</v>
      </c>
      <c r="I124" s="24"/>
      <c r="J124" s="24"/>
    </row>
    <row r="125" spans="1:10" x14ac:dyDescent="0.3">
      <c r="A125" s="22">
        <v>46389</v>
      </c>
      <c r="B125" s="26" t="s">
        <v>92</v>
      </c>
      <c r="C125" s="26" t="s">
        <v>66</v>
      </c>
      <c r="D125" s="26" t="s">
        <v>68</v>
      </c>
      <c r="E125" s="27" t="s">
        <v>116</v>
      </c>
      <c r="F125" s="26">
        <v>60</v>
      </c>
      <c r="G125" s="26"/>
      <c r="H125" s="26" t="s">
        <v>85</v>
      </c>
      <c r="I125" s="27"/>
      <c r="J125" s="27"/>
    </row>
    <row r="126" spans="1:10" x14ac:dyDescent="0.3">
      <c r="A126" s="22">
        <v>46390</v>
      </c>
      <c r="B126" s="23" t="s">
        <v>94</v>
      </c>
      <c r="C126" s="23" t="s">
        <v>66</v>
      </c>
      <c r="D126" s="23" t="s">
        <v>68</v>
      </c>
      <c r="E126" s="24" t="s">
        <v>117</v>
      </c>
      <c r="F126" s="23">
        <v>60</v>
      </c>
      <c r="G126" s="23"/>
      <c r="H126" s="23" t="s">
        <v>85</v>
      </c>
      <c r="I126" s="24"/>
      <c r="J126" s="24"/>
    </row>
    <row r="127" spans="1:10" x14ac:dyDescent="0.3">
      <c r="A127" s="22">
        <v>46391</v>
      </c>
      <c r="B127" s="26" t="s">
        <v>96</v>
      </c>
      <c r="C127" s="26" t="s">
        <v>66</v>
      </c>
      <c r="D127" s="26" t="s">
        <v>68</v>
      </c>
      <c r="E127" s="27" t="s">
        <v>97</v>
      </c>
      <c r="F127" s="26">
        <v>30</v>
      </c>
      <c r="G127" s="26"/>
      <c r="H127" s="26" t="s">
        <v>85</v>
      </c>
      <c r="I127" s="27"/>
      <c r="J127" s="27"/>
    </row>
    <row r="128" spans="1:10" x14ac:dyDescent="0.3">
      <c r="A128" s="22">
        <v>46392</v>
      </c>
      <c r="B128" s="23" t="s">
        <v>83</v>
      </c>
      <c r="C128" s="23" t="s">
        <v>66</v>
      </c>
      <c r="D128" s="23" t="s">
        <v>68</v>
      </c>
      <c r="E128" s="24" t="s">
        <v>118</v>
      </c>
      <c r="F128" s="23">
        <v>60</v>
      </c>
      <c r="G128" s="23"/>
      <c r="H128" s="23" t="s">
        <v>85</v>
      </c>
      <c r="I128" s="24"/>
      <c r="J128" s="24"/>
    </row>
    <row r="129" spans="1:10" x14ac:dyDescent="0.3">
      <c r="A129" s="22">
        <v>46393</v>
      </c>
      <c r="B129" s="26" t="s">
        <v>86</v>
      </c>
      <c r="C129" s="26" t="s">
        <v>66</v>
      </c>
      <c r="D129" s="26" t="s">
        <v>68</v>
      </c>
      <c r="E129" s="27" t="s">
        <v>119</v>
      </c>
      <c r="F129" s="26">
        <v>60</v>
      </c>
      <c r="G129" s="26"/>
      <c r="H129" s="26" t="s">
        <v>85</v>
      </c>
      <c r="I129" s="27"/>
      <c r="J129" s="27"/>
    </row>
    <row r="130" spans="1:10" x14ac:dyDescent="0.3">
      <c r="A130" s="22">
        <v>46394</v>
      </c>
      <c r="B130" s="23" t="s">
        <v>88</v>
      </c>
      <c r="C130" s="23" t="s">
        <v>66</v>
      </c>
      <c r="D130" s="23" t="s">
        <v>68</v>
      </c>
      <c r="E130" s="24" t="s">
        <v>120</v>
      </c>
      <c r="F130" s="23">
        <v>60</v>
      </c>
      <c r="G130" s="23"/>
      <c r="H130" s="23" t="s">
        <v>85</v>
      </c>
      <c r="I130" s="24"/>
      <c r="J130" s="24"/>
    </row>
    <row r="131" spans="1:10" x14ac:dyDescent="0.3">
      <c r="A131" s="22">
        <v>46395</v>
      </c>
      <c r="B131" s="26" t="s">
        <v>90</v>
      </c>
      <c r="C131" s="26" t="s">
        <v>66</v>
      </c>
      <c r="D131" s="26" t="s">
        <v>68</v>
      </c>
      <c r="E131" s="27" t="s">
        <v>115</v>
      </c>
      <c r="F131" s="26">
        <v>60</v>
      </c>
      <c r="G131" s="26"/>
      <c r="H131" s="26" t="s">
        <v>85</v>
      </c>
      <c r="I131" s="27"/>
      <c r="J131" s="27"/>
    </row>
    <row r="132" spans="1:10" x14ac:dyDescent="0.3">
      <c r="A132" s="22">
        <v>46396</v>
      </c>
      <c r="B132" s="23" t="s">
        <v>92</v>
      </c>
      <c r="C132" s="23" t="s">
        <v>66</v>
      </c>
      <c r="D132" s="23" t="s">
        <v>68</v>
      </c>
      <c r="E132" s="24" t="s">
        <v>116</v>
      </c>
      <c r="F132" s="23">
        <v>60</v>
      </c>
      <c r="G132" s="23"/>
      <c r="H132" s="23" t="s">
        <v>85</v>
      </c>
      <c r="I132" s="24"/>
      <c r="J132" s="24"/>
    </row>
    <row r="133" spans="1:10" x14ac:dyDescent="0.3">
      <c r="A133" s="22">
        <v>46397</v>
      </c>
      <c r="B133" s="26" t="s">
        <v>94</v>
      </c>
      <c r="C133" s="26" t="s">
        <v>66</v>
      </c>
      <c r="D133" s="26" t="s">
        <v>68</v>
      </c>
      <c r="E133" s="27" t="s">
        <v>117</v>
      </c>
      <c r="F133" s="26">
        <v>60</v>
      </c>
      <c r="G133" s="26"/>
      <c r="H133" s="26" t="s">
        <v>85</v>
      </c>
      <c r="I133" s="27"/>
      <c r="J133" s="27"/>
    </row>
    <row r="134" spans="1:10" x14ac:dyDescent="0.3">
      <c r="A134" s="22">
        <v>46398</v>
      </c>
      <c r="B134" s="23" t="s">
        <v>96</v>
      </c>
      <c r="C134" s="23" t="s">
        <v>66</v>
      </c>
      <c r="D134" s="23" t="s">
        <v>68</v>
      </c>
      <c r="E134" s="24" t="s">
        <v>97</v>
      </c>
      <c r="F134" s="23">
        <v>30</v>
      </c>
      <c r="G134" s="23"/>
      <c r="H134" s="23" t="s">
        <v>85</v>
      </c>
      <c r="I134" s="24"/>
      <c r="J134" s="24"/>
    </row>
    <row r="135" spans="1:10" x14ac:dyDescent="0.3">
      <c r="A135" s="22">
        <v>46399</v>
      </c>
      <c r="B135" s="26" t="s">
        <v>83</v>
      </c>
      <c r="C135" s="26" t="s">
        <v>66</v>
      </c>
      <c r="D135" s="26" t="s">
        <v>68</v>
      </c>
      <c r="E135" s="27" t="s">
        <v>118</v>
      </c>
      <c r="F135" s="26">
        <v>60</v>
      </c>
      <c r="G135" s="26"/>
      <c r="H135" s="26" t="s">
        <v>85</v>
      </c>
      <c r="I135" s="27"/>
      <c r="J135" s="27"/>
    </row>
    <row r="136" spans="1:10" x14ac:dyDescent="0.3">
      <c r="A136" s="22">
        <v>46400</v>
      </c>
      <c r="B136" s="23" t="s">
        <v>86</v>
      </c>
      <c r="C136" s="23" t="s">
        <v>66</v>
      </c>
      <c r="D136" s="23" t="s">
        <v>68</v>
      </c>
      <c r="E136" s="24" t="s">
        <v>119</v>
      </c>
      <c r="F136" s="23">
        <v>60</v>
      </c>
      <c r="G136" s="23"/>
      <c r="H136" s="23" t="s">
        <v>85</v>
      </c>
      <c r="I136" s="24"/>
      <c r="J136" s="24"/>
    </row>
    <row r="137" spans="1:10" x14ac:dyDescent="0.3">
      <c r="A137" s="22">
        <v>46401</v>
      </c>
      <c r="B137" s="26" t="s">
        <v>88</v>
      </c>
      <c r="C137" s="26" t="s">
        <v>66</v>
      </c>
      <c r="D137" s="26" t="s">
        <v>68</v>
      </c>
      <c r="E137" s="27" t="s">
        <v>120</v>
      </c>
      <c r="F137" s="26">
        <v>60</v>
      </c>
      <c r="G137" s="26"/>
      <c r="H137" s="26" t="s">
        <v>85</v>
      </c>
      <c r="I137" s="27"/>
      <c r="J137" s="27"/>
    </row>
    <row r="138" spans="1:10" x14ac:dyDescent="0.3">
      <c r="A138" s="22">
        <v>46402</v>
      </c>
      <c r="B138" s="23" t="s">
        <v>90</v>
      </c>
      <c r="C138" s="23" t="s">
        <v>66</v>
      </c>
      <c r="D138" s="23" t="s">
        <v>68</v>
      </c>
      <c r="E138" s="24" t="s">
        <v>115</v>
      </c>
      <c r="F138" s="23">
        <v>60</v>
      </c>
      <c r="G138" s="23"/>
      <c r="H138" s="23" t="s">
        <v>85</v>
      </c>
      <c r="I138" s="24"/>
      <c r="J138" s="24"/>
    </row>
    <row r="139" spans="1:10" x14ac:dyDescent="0.3">
      <c r="A139" s="22">
        <v>46403</v>
      </c>
      <c r="B139" s="26" t="s">
        <v>92</v>
      </c>
      <c r="C139" s="26" t="s">
        <v>66</v>
      </c>
      <c r="D139" s="26" t="s">
        <v>68</v>
      </c>
      <c r="E139" s="27" t="s">
        <v>116</v>
      </c>
      <c r="F139" s="26">
        <v>60</v>
      </c>
      <c r="G139" s="26"/>
      <c r="H139" s="26" t="s">
        <v>85</v>
      </c>
      <c r="I139" s="27"/>
      <c r="J139" s="27"/>
    </row>
    <row r="140" spans="1:10" x14ac:dyDescent="0.3">
      <c r="A140" s="22">
        <v>46404</v>
      </c>
      <c r="B140" s="23" t="s">
        <v>94</v>
      </c>
      <c r="C140" s="23" t="s">
        <v>66</v>
      </c>
      <c r="D140" s="23" t="s">
        <v>68</v>
      </c>
      <c r="E140" s="24" t="s">
        <v>117</v>
      </c>
      <c r="F140" s="23">
        <v>60</v>
      </c>
      <c r="G140" s="23"/>
      <c r="H140" s="23" t="s">
        <v>85</v>
      </c>
      <c r="I140" s="24"/>
      <c r="J140" s="24"/>
    </row>
    <row r="141" spans="1:10" x14ac:dyDescent="0.3">
      <c r="A141" s="22">
        <v>46405</v>
      </c>
      <c r="B141" s="26" t="s">
        <v>96</v>
      </c>
      <c r="C141" s="26" t="s">
        <v>66</v>
      </c>
      <c r="D141" s="26" t="s">
        <v>68</v>
      </c>
      <c r="E141" s="27" t="s">
        <v>97</v>
      </c>
      <c r="F141" s="26">
        <v>30</v>
      </c>
      <c r="G141" s="26"/>
      <c r="H141" s="26" t="s">
        <v>85</v>
      </c>
      <c r="I141" s="27"/>
      <c r="J141" s="27"/>
    </row>
    <row r="142" spans="1:10" x14ac:dyDescent="0.3">
      <c r="A142" s="22">
        <v>46406</v>
      </c>
      <c r="B142" s="23" t="s">
        <v>83</v>
      </c>
      <c r="C142" s="23" t="s">
        <v>66</v>
      </c>
      <c r="D142" s="23" t="s">
        <v>68</v>
      </c>
      <c r="E142" s="24" t="s">
        <v>118</v>
      </c>
      <c r="F142" s="23">
        <v>60</v>
      </c>
      <c r="G142" s="23"/>
      <c r="H142" s="23" t="s">
        <v>85</v>
      </c>
      <c r="I142" s="24"/>
      <c r="J142" s="24"/>
    </row>
    <row r="143" spans="1:10" x14ac:dyDescent="0.3">
      <c r="A143" s="22">
        <v>46407</v>
      </c>
      <c r="B143" s="26" t="s">
        <v>86</v>
      </c>
      <c r="C143" s="26" t="s">
        <v>66</v>
      </c>
      <c r="D143" s="26" t="s">
        <v>68</v>
      </c>
      <c r="E143" s="27" t="s">
        <v>119</v>
      </c>
      <c r="F143" s="26">
        <v>60</v>
      </c>
      <c r="G143" s="26"/>
      <c r="H143" s="26" t="s">
        <v>85</v>
      </c>
      <c r="I143" s="27"/>
      <c r="J143" s="27"/>
    </row>
    <row r="144" spans="1:10" x14ac:dyDescent="0.3">
      <c r="A144" s="22">
        <v>46408</v>
      </c>
      <c r="B144" s="23" t="s">
        <v>88</v>
      </c>
      <c r="C144" s="23" t="s">
        <v>66</v>
      </c>
      <c r="D144" s="23" t="s">
        <v>68</v>
      </c>
      <c r="E144" s="24" t="s">
        <v>120</v>
      </c>
      <c r="F144" s="23">
        <v>60</v>
      </c>
      <c r="G144" s="23"/>
      <c r="H144" s="23" t="s">
        <v>85</v>
      </c>
      <c r="I144" s="24"/>
      <c r="J144" s="24"/>
    </row>
    <row r="145" spans="1:10" x14ac:dyDescent="0.3">
      <c r="A145" s="22">
        <v>46409</v>
      </c>
      <c r="B145" s="26" t="s">
        <v>90</v>
      </c>
      <c r="C145" s="26" t="s">
        <v>66</v>
      </c>
      <c r="D145" s="26" t="s">
        <v>68</v>
      </c>
      <c r="E145" s="27" t="s">
        <v>115</v>
      </c>
      <c r="F145" s="26">
        <v>60</v>
      </c>
      <c r="G145" s="26"/>
      <c r="H145" s="26" t="s">
        <v>85</v>
      </c>
      <c r="I145" s="27"/>
      <c r="J145" s="27"/>
    </row>
    <row r="146" spans="1:10" x14ac:dyDescent="0.3">
      <c r="A146" s="22">
        <v>46410</v>
      </c>
      <c r="B146" s="23" t="s">
        <v>92</v>
      </c>
      <c r="C146" s="23" t="s">
        <v>66</v>
      </c>
      <c r="D146" s="23" t="s">
        <v>68</v>
      </c>
      <c r="E146" s="24" t="s">
        <v>116</v>
      </c>
      <c r="F146" s="23">
        <v>60</v>
      </c>
      <c r="G146" s="23"/>
      <c r="H146" s="23" t="s">
        <v>85</v>
      </c>
      <c r="I146" s="24"/>
      <c r="J146" s="24"/>
    </row>
    <row r="147" spans="1:10" x14ac:dyDescent="0.3">
      <c r="A147" s="22">
        <v>46411</v>
      </c>
      <c r="B147" s="26" t="s">
        <v>94</v>
      </c>
      <c r="C147" s="26" t="s">
        <v>66</v>
      </c>
      <c r="D147" s="26" t="s">
        <v>68</v>
      </c>
      <c r="E147" s="27" t="s">
        <v>117</v>
      </c>
      <c r="F147" s="26">
        <v>60</v>
      </c>
      <c r="G147" s="26"/>
      <c r="H147" s="26" t="s">
        <v>85</v>
      </c>
      <c r="I147" s="27"/>
      <c r="J147" s="27"/>
    </row>
    <row r="148" spans="1:10" x14ac:dyDescent="0.3">
      <c r="A148" s="22">
        <v>46412</v>
      </c>
      <c r="B148" s="23" t="s">
        <v>96</v>
      </c>
      <c r="C148" s="23" t="s">
        <v>66</v>
      </c>
      <c r="D148" s="23" t="s">
        <v>68</v>
      </c>
      <c r="E148" s="24" t="s">
        <v>97</v>
      </c>
      <c r="F148" s="23">
        <v>30</v>
      </c>
      <c r="G148" s="23"/>
      <c r="H148" s="23" t="s">
        <v>85</v>
      </c>
      <c r="I148" s="24"/>
      <c r="J148" s="24"/>
    </row>
    <row r="149" spans="1:10" x14ac:dyDescent="0.3">
      <c r="A149" s="22">
        <v>46413</v>
      </c>
      <c r="B149" s="26" t="s">
        <v>83</v>
      </c>
      <c r="C149" s="26" t="s">
        <v>66</v>
      </c>
      <c r="D149" s="26" t="s">
        <v>68</v>
      </c>
      <c r="E149" s="27" t="s">
        <v>118</v>
      </c>
      <c r="F149" s="26">
        <v>60</v>
      </c>
      <c r="G149" s="26"/>
      <c r="H149" s="26" t="s">
        <v>85</v>
      </c>
      <c r="I149" s="27"/>
      <c r="J149" s="27"/>
    </row>
    <row r="150" spans="1:10" x14ac:dyDescent="0.3">
      <c r="A150" s="22">
        <v>46414</v>
      </c>
      <c r="B150" s="23" t="s">
        <v>86</v>
      </c>
      <c r="C150" s="23" t="s">
        <v>66</v>
      </c>
      <c r="D150" s="23" t="s">
        <v>68</v>
      </c>
      <c r="E150" s="24" t="s">
        <v>119</v>
      </c>
      <c r="F150" s="23">
        <v>60</v>
      </c>
      <c r="G150" s="23"/>
      <c r="H150" s="23" t="s">
        <v>85</v>
      </c>
      <c r="I150" s="24"/>
      <c r="J150" s="24"/>
    </row>
    <row r="151" spans="1:10" x14ac:dyDescent="0.3">
      <c r="A151" s="22">
        <v>46415</v>
      </c>
      <c r="B151" s="26" t="s">
        <v>88</v>
      </c>
      <c r="C151" s="26" t="s">
        <v>66</v>
      </c>
      <c r="D151" s="26" t="s">
        <v>68</v>
      </c>
      <c r="E151" s="27" t="s">
        <v>120</v>
      </c>
      <c r="F151" s="26">
        <v>60</v>
      </c>
      <c r="G151" s="26"/>
      <c r="H151" s="26" t="s">
        <v>85</v>
      </c>
      <c r="I151" s="27"/>
      <c r="J151" s="27"/>
    </row>
    <row r="152" spans="1:10" x14ac:dyDescent="0.3">
      <c r="A152" s="22">
        <v>46416</v>
      </c>
      <c r="B152" s="23" t="s">
        <v>90</v>
      </c>
      <c r="C152" s="23" t="s">
        <v>66</v>
      </c>
      <c r="D152" s="23" t="s">
        <v>68</v>
      </c>
      <c r="E152" s="24" t="s">
        <v>115</v>
      </c>
      <c r="F152" s="23">
        <v>60</v>
      </c>
      <c r="G152" s="23"/>
      <c r="H152" s="23" t="s">
        <v>85</v>
      </c>
      <c r="I152" s="24"/>
      <c r="J152" s="24"/>
    </row>
    <row r="153" spans="1:10" x14ac:dyDescent="0.3">
      <c r="A153" s="22">
        <v>46417</v>
      </c>
      <c r="B153" s="26" t="s">
        <v>92</v>
      </c>
      <c r="C153" s="26" t="s">
        <v>66</v>
      </c>
      <c r="D153" s="26" t="s">
        <v>68</v>
      </c>
      <c r="E153" s="27" t="s">
        <v>116</v>
      </c>
      <c r="F153" s="26">
        <v>60</v>
      </c>
      <c r="G153" s="26"/>
      <c r="H153" s="26" t="s">
        <v>85</v>
      </c>
      <c r="I153" s="27"/>
      <c r="J153" s="27"/>
    </row>
    <row r="154" spans="1:10" x14ac:dyDescent="0.3">
      <c r="A154" s="22">
        <v>46418</v>
      </c>
      <c r="B154" s="23" t="s">
        <v>94</v>
      </c>
      <c r="C154" s="23" t="s">
        <v>66</v>
      </c>
      <c r="D154" s="23" t="s">
        <v>68</v>
      </c>
      <c r="E154" s="24" t="s">
        <v>117</v>
      </c>
      <c r="F154" s="23">
        <v>60</v>
      </c>
      <c r="G154" s="23"/>
      <c r="H154" s="23" t="s">
        <v>85</v>
      </c>
      <c r="I154" s="24"/>
      <c r="J154" s="24"/>
    </row>
    <row r="155" spans="1:10" x14ac:dyDescent="0.3">
      <c r="A155" s="22">
        <v>46419</v>
      </c>
      <c r="B155" s="26" t="s">
        <v>96</v>
      </c>
      <c r="C155" s="26" t="s">
        <v>71</v>
      </c>
      <c r="D155" s="26" t="s">
        <v>73</v>
      </c>
      <c r="E155" s="27" t="s">
        <v>97</v>
      </c>
      <c r="F155" s="26">
        <v>30</v>
      </c>
      <c r="G155" s="26"/>
      <c r="H155" s="26" t="s">
        <v>85</v>
      </c>
      <c r="I155" s="27"/>
      <c r="J155" s="27"/>
    </row>
    <row r="156" spans="1:10" x14ac:dyDescent="0.3">
      <c r="A156" s="22">
        <v>46420</v>
      </c>
      <c r="B156" s="23" t="s">
        <v>83</v>
      </c>
      <c r="C156" s="23" t="s">
        <v>71</v>
      </c>
      <c r="D156" s="23" t="s">
        <v>73</v>
      </c>
      <c r="E156" s="24" t="s">
        <v>121</v>
      </c>
      <c r="F156" s="23">
        <v>60</v>
      </c>
      <c r="G156" s="23"/>
      <c r="H156" s="23" t="s">
        <v>85</v>
      </c>
      <c r="I156" s="24"/>
      <c r="J156" s="24"/>
    </row>
    <row r="157" spans="1:10" x14ac:dyDescent="0.3">
      <c r="A157" s="22">
        <v>46421</v>
      </c>
      <c r="B157" s="26" t="s">
        <v>86</v>
      </c>
      <c r="C157" s="26" t="s">
        <v>71</v>
      </c>
      <c r="D157" s="26" t="s">
        <v>73</v>
      </c>
      <c r="E157" s="27" t="s">
        <v>122</v>
      </c>
      <c r="F157" s="26">
        <v>60</v>
      </c>
      <c r="G157" s="26"/>
      <c r="H157" s="26" t="s">
        <v>85</v>
      </c>
      <c r="I157" s="27"/>
      <c r="J157" s="27"/>
    </row>
    <row r="158" spans="1:10" x14ac:dyDescent="0.3">
      <c r="A158" s="22">
        <v>46422</v>
      </c>
      <c r="B158" s="23" t="s">
        <v>88</v>
      </c>
      <c r="C158" s="23" t="s">
        <v>71</v>
      </c>
      <c r="D158" s="23" t="s">
        <v>73</v>
      </c>
      <c r="E158" s="24" t="s">
        <v>123</v>
      </c>
      <c r="F158" s="23">
        <v>60</v>
      </c>
      <c r="G158" s="23"/>
      <c r="H158" s="23" t="s">
        <v>85</v>
      </c>
      <c r="I158" s="24"/>
      <c r="J158" s="24"/>
    </row>
    <row r="159" spans="1:10" x14ac:dyDescent="0.3">
      <c r="A159" s="22">
        <v>46423</v>
      </c>
      <c r="B159" s="26" t="s">
        <v>90</v>
      </c>
      <c r="C159" s="26" t="s">
        <v>71</v>
      </c>
      <c r="D159" s="26" t="s">
        <v>73</v>
      </c>
      <c r="E159" s="27" t="s">
        <v>124</v>
      </c>
      <c r="F159" s="26">
        <v>60</v>
      </c>
      <c r="G159" s="26"/>
      <c r="H159" s="26" t="s">
        <v>85</v>
      </c>
      <c r="I159" s="27"/>
      <c r="J159" s="27"/>
    </row>
    <row r="160" spans="1:10" x14ac:dyDescent="0.3">
      <c r="A160" s="22">
        <v>46424</v>
      </c>
      <c r="B160" s="23" t="s">
        <v>92</v>
      </c>
      <c r="C160" s="23" t="s">
        <v>71</v>
      </c>
      <c r="D160" s="23" t="s">
        <v>73</v>
      </c>
      <c r="E160" s="24" t="s">
        <v>125</v>
      </c>
      <c r="F160" s="23">
        <v>60</v>
      </c>
      <c r="G160" s="23"/>
      <c r="H160" s="23" t="s">
        <v>85</v>
      </c>
      <c r="I160" s="24"/>
      <c r="J160" s="24"/>
    </row>
    <row r="161" spans="1:10" x14ac:dyDescent="0.3">
      <c r="A161" s="22">
        <v>46425</v>
      </c>
      <c r="B161" s="26" t="s">
        <v>94</v>
      </c>
      <c r="C161" s="26" t="s">
        <v>71</v>
      </c>
      <c r="D161" s="26" t="s">
        <v>73</v>
      </c>
      <c r="E161" s="27" t="s">
        <v>126</v>
      </c>
      <c r="F161" s="26">
        <v>60</v>
      </c>
      <c r="G161" s="26"/>
      <c r="H161" s="26" t="s">
        <v>85</v>
      </c>
      <c r="I161" s="27"/>
      <c r="J161" s="27"/>
    </row>
    <row r="162" spans="1:10" x14ac:dyDescent="0.3">
      <c r="A162" s="22">
        <v>46426</v>
      </c>
      <c r="B162" s="23" t="s">
        <v>96</v>
      </c>
      <c r="C162" s="23" t="s">
        <v>71</v>
      </c>
      <c r="D162" s="23" t="s">
        <v>73</v>
      </c>
      <c r="E162" s="24" t="s">
        <v>97</v>
      </c>
      <c r="F162" s="23">
        <v>30</v>
      </c>
      <c r="G162" s="23"/>
      <c r="H162" s="23" t="s">
        <v>85</v>
      </c>
      <c r="I162" s="24"/>
      <c r="J162" s="24"/>
    </row>
    <row r="163" spans="1:10" x14ac:dyDescent="0.3">
      <c r="A163" s="22">
        <v>46427</v>
      </c>
      <c r="B163" s="26" t="s">
        <v>83</v>
      </c>
      <c r="C163" s="26" t="s">
        <v>71</v>
      </c>
      <c r="D163" s="26" t="s">
        <v>73</v>
      </c>
      <c r="E163" s="27" t="s">
        <v>121</v>
      </c>
      <c r="F163" s="26">
        <v>60</v>
      </c>
      <c r="G163" s="26"/>
      <c r="H163" s="26" t="s">
        <v>85</v>
      </c>
      <c r="I163" s="27"/>
      <c r="J163" s="27"/>
    </row>
    <row r="164" spans="1:10" x14ac:dyDescent="0.3">
      <c r="A164" s="22">
        <v>46428</v>
      </c>
      <c r="B164" s="23" t="s">
        <v>86</v>
      </c>
      <c r="C164" s="23" t="s">
        <v>71</v>
      </c>
      <c r="D164" s="23" t="s">
        <v>73</v>
      </c>
      <c r="E164" s="24" t="s">
        <v>122</v>
      </c>
      <c r="F164" s="23">
        <v>60</v>
      </c>
      <c r="G164" s="23"/>
      <c r="H164" s="23" t="s">
        <v>85</v>
      </c>
      <c r="I164" s="24"/>
      <c r="J164" s="24"/>
    </row>
    <row r="165" spans="1:10" x14ac:dyDescent="0.3">
      <c r="A165" s="22">
        <v>46429</v>
      </c>
      <c r="B165" s="26" t="s">
        <v>88</v>
      </c>
      <c r="C165" s="26" t="s">
        <v>71</v>
      </c>
      <c r="D165" s="26" t="s">
        <v>73</v>
      </c>
      <c r="E165" s="27" t="s">
        <v>123</v>
      </c>
      <c r="F165" s="26">
        <v>60</v>
      </c>
      <c r="G165" s="26"/>
      <c r="H165" s="26" t="s">
        <v>85</v>
      </c>
      <c r="I165" s="27"/>
      <c r="J165" s="27"/>
    </row>
    <row r="166" spans="1:10" x14ac:dyDescent="0.3">
      <c r="A166" s="22">
        <v>46430</v>
      </c>
      <c r="B166" s="23" t="s">
        <v>90</v>
      </c>
      <c r="C166" s="23" t="s">
        <v>71</v>
      </c>
      <c r="D166" s="23" t="s">
        <v>73</v>
      </c>
      <c r="E166" s="24" t="s">
        <v>124</v>
      </c>
      <c r="F166" s="23">
        <v>60</v>
      </c>
      <c r="G166" s="23"/>
      <c r="H166" s="23" t="s">
        <v>85</v>
      </c>
      <c r="I166" s="24"/>
      <c r="J166" s="24"/>
    </row>
    <row r="167" spans="1:10" x14ac:dyDescent="0.3">
      <c r="A167" s="22">
        <v>46431</v>
      </c>
      <c r="B167" s="26" t="s">
        <v>92</v>
      </c>
      <c r="C167" s="26" t="s">
        <v>71</v>
      </c>
      <c r="D167" s="26" t="s">
        <v>73</v>
      </c>
      <c r="E167" s="27" t="s">
        <v>125</v>
      </c>
      <c r="F167" s="26">
        <v>60</v>
      </c>
      <c r="G167" s="26"/>
      <c r="H167" s="26" t="s">
        <v>85</v>
      </c>
      <c r="I167" s="27"/>
      <c r="J167" s="27"/>
    </row>
    <row r="168" spans="1:10" x14ac:dyDescent="0.3">
      <c r="A168" s="22">
        <v>46432</v>
      </c>
      <c r="B168" s="23" t="s">
        <v>94</v>
      </c>
      <c r="C168" s="23" t="s">
        <v>71</v>
      </c>
      <c r="D168" s="23" t="s">
        <v>73</v>
      </c>
      <c r="E168" s="24" t="s">
        <v>126</v>
      </c>
      <c r="F168" s="23">
        <v>60</v>
      </c>
      <c r="G168" s="23"/>
      <c r="H168" s="23" t="s">
        <v>85</v>
      </c>
      <c r="I168" s="24"/>
      <c r="J168" s="24"/>
    </row>
    <row r="169" spans="1:10" x14ac:dyDescent="0.3">
      <c r="A169" s="22">
        <v>46433</v>
      </c>
      <c r="B169" s="26" t="s">
        <v>96</v>
      </c>
      <c r="C169" s="26" t="s">
        <v>71</v>
      </c>
      <c r="D169" s="26" t="s">
        <v>73</v>
      </c>
      <c r="E169" s="27" t="s">
        <v>97</v>
      </c>
      <c r="F169" s="26">
        <v>30</v>
      </c>
      <c r="G169" s="26"/>
      <c r="H169" s="26" t="s">
        <v>85</v>
      </c>
      <c r="I169" s="27"/>
      <c r="J169" s="27"/>
    </row>
    <row r="170" spans="1:10" x14ac:dyDescent="0.3">
      <c r="A170" s="22">
        <v>46434</v>
      </c>
      <c r="B170" s="23" t="s">
        <v>83</v>
      </c>
      <c r="C170" s="23" t="s">
        <v>71</v>
      </c>
      <c r="D170" s="23" t="s">
        <v>73</v>
      </c>
      <c r="E170" s="24" t="s">
        <v>121</v>
      </c>
      <c r="F170" s="23">
        <v>60</v>
      </c>
      <c r="G170" s="23"/>
      <c r="H170" s="23" t="s">
        <v>85</v>
      </c>
      <c r="I170" s="24"/>
      <c r="J170" s="24"/>
    </row>
    <row r="171" spans="1:10" x14ac:dyDescent="0.3">
      <c r="A171" s="22">
        <v>46435</v>
      </c>
      <c r="B171" s="26" t="s">
        <v>86</v>
      </c>
      <c r="C171" s="26" t="s">
        <v>71</v>
      </c>
      <c r="D171" s="26" t="s">
        <v>73</v>
      </c>
      <c r="E171" s="27" t="s">
        <v>122</v>
      </c>
      <c r="F171" s="26">
        <v>60</v>
      </c>
      <c r="G171" s="26"/>
      <c r="H171" s="26" t="s">
        <v>85</v>
      </c>
      <c r="I171" s="27"/>
      <c r="J171" s="27"/>
    </row>
    <row r="172" spans="1:10" x14ac:dyDescent="0.3">
      <c r="A172" s="22">
        <v>46436</v>
      </c>
      <c r="B172" s="23" t="s">
        <v>88</v>
      </c>
      <c r="C172" s="23" t="s">
        <v>71</v>
      </c>
      <c r="D172" s="23" t="s">
        <v>73</v>
      </c>
      <c r="E172" s="24" t="s">
        <v>123</v>
      </c>
      <c r="F172" s="23">
        <v>60</v>
      </c>
      <c r="G172" s="23"/>
      <c r="H172" s="23" t="s">
        <v>85</v>
      </c>
      <c r="I172" s="24"/>
      <c r="J172" s="24"/>
    </row>
    <row r="173" spans="1:10" x14ac:dyDescent="0.3">
      <c r="A173" s="22">
        <v>46437</v>
      </c>
      <c r="B173" s="26" t="s">
        <v>90</v>
      </c>
      <c r="C173" s="26" t="s">
        <v>71</v>
      </c>
      <c r="D173" s="26" t="s">
        <v>73</v>
      </c>
      <c r="E173" s="27" t="s">
        <v>124</v>
      </c>
      <c r="F173" s="26">
        <v>60</v>
      </c>
      <c r="G173" s="26"/>
      <c r="H173" s="26" t="s">
        <v>85</v>
      </c>
      <c r="I173" s="27"/>
      <c r="J173" s="27"/>
    </row>
    <row r="174" spans="1:10" x14ac:dyDescent="0.3">
      <c r="A174" s="22">
        <v>46438</v>
      </c>
      <c r="B174" s="23" t="s">
        <v>92</v>
      </c>
      <c r="C174" s="23" t="s">
        <v>71</v>
      </c>
      <c r="D174" s="23" t="s">
        <v>73</v>
      </c>
      <c r="E174" s="24" t="s">
        <v>125</v>
      </c>
      <c r="F174" s="23">
        <v>60</v>
      </c>
      <c r="G174" s="23"/>
      <c r="H174" s="23" t="s">
        <v>85</v>
      </c>
      <c r="I174" s="24"/>
      <c r="J174" s="24"/>
    </row>
    <row r="175" spans="1:10" x14ac:dyDescent="0.3">
      <c r="A175" s="22">
        <v>46439</v>
      </c>
      <c r="B175" s="26" t="s">
        <v>94</v>
      </c>
      <c r="C175" s="26" t="s">
        <v>71</v>
      </c>
      <c r="D175" s="26" t="s">
        <v>73</v>
      </c>
      <c r="E175" s="27" t="s">
        <v>126</v>
      </c>
      <c r="F175" s="26">
        <v>60</v>
      </c>
      <c r="G175" s="26"/>
      <c r="H175" s="26" t="s">
        <v>85</v>
      </c>
      <c r="I175" s="27"/>
      <c r="J175" s="27"/>
    </row>
    <row r="176" spans="1:10" x14ac:dyDescent="0.3">
      <c r="A176" s="22">
        <v>46440</v>
      </c>
      <c r="B176" s="23" t="s">
        <v>96</v>
      </c>
      <c r="C176" s="23" t="s">
        <v>71</v>
      </c>
      <c r="D176" s="23" t="s">
        <v>73</v>
      </c>
      <c r="E176" s="24" t="s">
        <v>97</v>
      </c>
      <c r="F176" s="23">
        <v>30</v>
      </c>
      <c r="G176" s="23"/>
      <c r="H176" s="23" t="s">
        <v>85</v>
      </c>
      <c r="I176" s="24"/>
      <c r="J176" s="24"/>
    </row>
    <row r="177" spans="1:10" x14ac:dyDescent="0.3">
      <c r="A177" s="22">
        <v>46441</v>
      </c>
      <c r="B177" s="26" t="s">
        <v>83</v>
      </c>
      <c r="C177" s="26" t="s">
        <v>71</v>
      </c>
      <c r="D177" s="26" t="s">
        <v>73</v>
      </c>
      <c r="E177" s="27" t="s">
        <v>121</v>
      </c>
      <c r="F177" s="26">
        <v>60</v>
      </c>
      <c r="G177" s="26"/>
      <c r="H177" s="26" t="s">
        <v>85</v>
      </c>
      <c r="I177" s="27"/>
      <c r="J177" s="27"/>
    </row>
    <row r="178" spans="1:10" x14ac:dyDescent="0.3">
      <c r="A178" s="22">
        <v>46442</v>
      </c>
      <c r="B178" s="23" t="s">
        <v>86</v>
      </c>
      <c r="C178" s="23" t="s">
        <v>71</v>
      </c>
      <c r="D178" s="23" t="s">
        <v>73</v>
      </c>
      <c r="E178" s="24" t="s">
        <v>122</v>
      </c>
      <c r="F178" s="23">
        <v>60</v>
      </c>
      <c r="G178" s="23"/>
      <c r="H178" s="23" t="s">
        <v>85</v>
      </c>
      <c r="I178" s="24"/>
      <c r="J178" s="24"/>
    </row>
    <row r="179" spans="1:10" x14ac:dyDescent="0.3">
      <c r="A179" s="22">
        <v>46443</v>
      </c>
      <c r="B179" s="26" t="s">
        <v>88</v>
      </c>
      <c r="C179" s="26" t="s">
        <v>71</v>
      </c>
      <c r="D179" s="26" t="s">
        <v>73</v>
      </c>
      <c r="E179" s="27" t="s">
        <v>123</v>
      </c>
      <c r="F179" s="26">
        <v>60</v>
      </c>
      <c r="G179" s="26"/>
      <c r="H179" s="26" t="s">
        <v>85</v>
      </c>
      <c r="I179" s="27"/>
      <c r="J179" s="27"/>
    </row>
    <row r="180" spans="1:10" x14ac:dyDescent="0.3">
      <c r="A180" s="22">
        <v>46444</v>
      </c>
      <c r="B180" s="23" t="s">
        <v>90</v>
      </c>
      <c r="C180" s="23" t="s">
        <v>71</v>
      </c>
      <c r="D180" s="23" t="s">
        <v>73</v>
      </c>
      <c r="E180" s="24" t="s">
        <v>124</v>
      </c>
      <c r="F180" s="23">
        <v>60</v>
      </c>
      <c r="G180" s="23"/>
      <c r="H180" s="23" t="s">
        <v>85</v>
      </c>
      <c r="I180" s="24"/>
      <c r="J180" s="24"/>
    </row>
    <row r="181" spans="1:10" x14ac:dyDescent="0.3">
      <c r="A181" s="22">
        <v>46445</v>
      </c>
      <c r="B181" s="26" t="s">
        <v>92</v>
      </c>
      <c r="C181" s="26" t="s">
        <v>71</v>
      </c>
      <c r="D181" s="26" t="s">
        <v>73</v>
      </c>
      <c r="E181" s="27" t="s">
        <v>125</v>
      </c>
      <c r="F181" s="26">
        <v>60</v>
      </c>
      <c r="G181" s="26"/>
      <c r="H181" s="26" t="s">
        <v>85</v>
      </c>
      <c r="I181" s="27"/>
      <c r="J181" s="27"/>
    </row>
    <row r="182" spans="1:10" x14ac:dyDescent="0.3">
      <c r="A182" s="22">
        <v>46446</v>
      </c>
      <c r="B182" s="23" t="s">
        <v>94</v>
      </c>
      <c r="C182" s="23" t="s">
        <v>71</v>
      </c>
      <c r="D182" s="23" t="s">
        <v>73</v>
      </c>
      <c r="E182" s="24" t="s">
        <v>126</v>
      </c>
      <c r="F182" s="23">
        <v>60</v>
      </c>
      <c r="G182" s="23"/>
      <c r="H182" s="23" t="s">
        <v>85</v>
      </c>
      <c r="I182" s="24"/>
      <c r="J182" s="24"/>
    </row>
  </sheetData>
  <conditionalFormatting sqref="C2:C182">
    <cfRule type="expression" dxfId="23" priority="2">
      <formula>$C2="Month 1"</formula>
    </cfRule>
    <cfRule type="expression" dxfId="22" priority="3">
      <formula>$C2="Month 2"</formula>
    </cfRule>
    <cfRule type="expression" dxfId="21" priority="4">
      <formula>$C2="Month 3"</formula>
    </cfRule>
    <cfRule type="expression" dxfId="20" priority="5">
      <formula>$C2="Month 4"</formula>
    </cfRule>
    <cfRule type="expression" dxfId="19" priority="6">
      <formula>$C2="Month 5"</formula>
    </cfRule>
    <cfRule type="expression" dxfId="18" priority="7">
      <formula>$C2="Month 6"</formula>
    </cfRule>
  </conditionalFormatting>
  <conditionalFormatting sqref="G2:G182">
    <cfRule type="dataBar" priority="12">
      <dataBar>
        <cfvo type="num" val="0"/>
        <cfvo type="num" val="90"/>
        <color rgb="FF0D9488"/>
      </dataBar>
      <extLst>
        <ext xmlns:x14="http://schemas.microsoft.com/office/spreadsheetml/2009/9/main" uri="{B025F937-C7B1-47D3-B67F-A62EFF666E3E}">
          <x14:id>{E9931CE1-2B5C-4579-B1D7-803D3C61FF88}</x14:id>
        </ext>
      </extLst>
    </cfRule>
  </conditionalFormatting>
  <conditionalFormatting sqref="H2:H182">
    <cfRule type="expression" dxfId="17" priority="8">
      <formula>$H2="Planned"</formula>
    </cfRule>
    <cfRule type="expression" dxfId="16" priority="9">
      <formula>$H2="In Progress"</formula>
    </cfRule>
    <cfRule type="expression" dxfId="15" priority="10">
      <formula>$H2="Completed"</formula>
    </cfRule>
    <cfRule type="expression" dxfId="14" priority="11">
      <formula>$H2="Skipped"</formula>
    </cfRule>
  </conditionalFormatting>
  <dataValidations count="1">
    <dataValidation type="list" allowBlank="1" sqref="H2:H182" xr:uid="{00000000-0002-0000-0200-000000000000}">
      <formula1>"Planned,In Progress,Completed,Skipped"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931CE1-2B5C-4579-B1D7-803D3C61FF88}">
            <x14:dataBar axisPosition="none">
              <x14:cfvo type="num">
                <xm:f>0</xm:f>
              </x14:cfvo>
              <x14:cfvo type="num">
                <xm:f>90</xm:f>
              </x14:cfvo>
              <x14:negativeFillColor rgb="FF0D9488"/>
            </x14:dataBar>
          </x14:cfRule>
          <xm:sqref>G2:G182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8"/>
  <sheetViews>
    <sheetView showGridLines="0" zoomScaleNormal="100" workbookViewId="0">
      <pane ySplit="1" topLeftCell="A2" activePane="bottomLeft" state="frozen"/>
      <selection pane="bottomLeft" activeCell="A28" sqref="A28:XFD28"/>
    </sheetView>
  </sheetViews>
  <sheetFormatPr defaultColWidth="8.6640625" defaultRowHeight="14.4" x14ac:dyDescent="0.3"/>
  <cols>
    <col min="1" max="1" width="9" customWidth="1"/>
    <col min="2" max="2" width="12" customWidth="1"/>
    <col min="3" max="3" width="24" customWidth="1"/>
    <col min="4" max="10" width="9" customWidth="1"/>
    <col min="11" max="11" width="40" customWidth="1"/>
    <col min="12" max="12" width="22" customWidth="1"/>
    <col min="13" max="13" width="12" customWidth="1"/>
  </cols>
  <sheetData>
    <row r="1" spans="1:13" ht="25.5" customHeight="1" x14ac:dyDescent="0.3">
      <c r="A1" s="15" t="s">
        <v>127</v>
      </c>
      <c r="B1" s="15" t="s">
        <v>128</v>
      </c>
      <c r="C1" s="15" t="s">
        <v>129</v>
      </c>
      <c r="D1" s="28" t="s">
        <v>130</v>
      </c>
      <c r="E1" s="29" t="s">
        <v>131</v>
      </c>
      <c r="F1" s="30" t="s">
        <v>132</v>
      </c>
      <c r="G1" s="31" t="s">
        <v>133</v>
      </c>
      <c r="H1" s="32" t="s">
        <v>134</v>
      </c>
      <c r="I1" s="33" t="s">
        <v>135</v>
      </c>
      <c r="J1" s="34" t="s">
        <v>136</v>
      </c>
      <c r="K1" s="15" t="s">
        <v>137</v>
      </c>
      <c r="L1" s="15" t="s">
        <v>138</v>
      </c>
      <c r="M1" s="15" t="s">
        <v>139</v>
      </c>
    </row>
    <row r="2" spans="1:13" ht="21.75" customHeight="1" x14ac:dyDescent="0.3">
      <c r="A2" s="23" t="s">
        <v>140</v>
      </c>
      <c r="B2" s="22">
        <v>46266</v>
      </c>
      <c r="C2" s="23" t="s">
        <v>47</v>
      </c>
      <c r="D2" s="23" t="s">
        <v>17</v>
      </c>
      <c r="E2" s="23" t="s">
        <v>19</v>
      </c>
      <c r="F2" s="23" t="s">
        <v>21</v>
      </c>
      <c r="G2" s="23" t="s">
        <v>23</v>
      </c>
      <c r="H2" s="23" t="s">
        <v>141</v>
      </c>
      <c r="I2" s="23" t="s">
        <v>142</v>
      </c>
      <c r="J2" s="23" t="s">
        <v>143</v>
      </c>
      <c r="K2" s="35" t="s">
        <v>144</v>
      </c>
      <c r="L2" s="35"/>
      <c r="M2" s="36">
        <f>IFERROR(COUNTIFS('Daily Planner'!$A$2:$A$182,"&gt;="&amp;B2,'Daily Planner'!$A$2:$A$182,"&lt;="&amp;(B2+6),'Daily Planner'!$H$2:$H$182,"Completed")/COUNTIFS('Daily Planner'!$A$2:$A$182,"&gt;="&amp;B2,'Daily Planner'!$A$2:$A$182,"&lt;="&amp;(B2+6)),0)</f>
        <v>0</v>
      </c>
    </row>
    <row r="3" spans="1:13" ht="21.75" customHeight="1" x14ac:dyDescent="0.3">
      <c r="A3" s="26" t="s">
        <v>145</v>
      </c>
      <c r="B3" s="25">
        <f>B2+7</f>
        <v>46273</v>
      </c>
      <c r="C3" s="26" t="s">
        <v>47</v>
      </c>
      <c r="D3" s="26" t="s">
        <v>17</v>
      </c>
      <c r="E3" s="26" t="s">
        <v>19</v>
      </c>
      <c r="F3" s="26" t="s">
        <v>21</v>
      </c>
      <c r="G3" s="26" t="s">
        <v>23</v>
      </c>
      <c r="H3" s="26" t="s">
        <v>141</v>
      </c>
      <c r="I3" s="26" t="s">
        <v>142</v>
      </c>
      <c r="J3" s="26" t="s">
        <v>143</v>
      </c>
      <c r="K3" s="37" t="s">
        <v>144</v>
      </c>
      <c r="L3" s="37"/>
      <c r="M3" s="38">
        <f>IFERROR(COUNTIFS('Daily Planner'!$A$2:$A$182,"&gt;="&amp;B3,'Daily Planner'!$A$2:$A$182,"&lt;="&amp;(B3+6),'Daily Planner'!$H$2:$H$182,"Completed")/COUNTIFS('Daily Planner'!$A$2:$A$182,"&gt;="&amp;B3,'Daily Planner'!$A$2:$A$182,"&lt;="&amp;(B3+6)),0)</f>
        <v>0</v>
      </c>
    </row>
    <row r="4" spans="1:13" ht="21.75" customHeight="1" x14ac:dyDescent="0.3">
      <c r="A4" s="23" t="s">
        <v>146</v>
      </c>
      <c r="B4" s="22">
        <f t="shared" ref="B4:B28" si="0">B3+7</f>
        <v>46280</v>
      </c>
      <c r="C4" s="23" t="s">
        <v>47</v>
      </c>
      <c r="D4" s="23" t="s">
        <v>17</v>
      </c>
      <c r="E4" s="23" t="s">
        <v>19</v>
      </c>
      <c r="F4" s="23" t="s">
        <v>21</v>
      </c>
      <c r="G4" s="23" t="s">
        <v>23</v>
      </c>
      <c r="H4" s="23" t="s">
        <v>141</v>
      </c>
      <c r="I4" s="23" t="s">
        <v>142</v>
      </c>
      <c r="J4" s="23" t="s">
        <v>143</v>
      </c>
      <c r="K4" s="35" t="s">
        <v>144</v>
      </c>
      <c r="L4" s="35"/>
      <c r="M4" s="36">
        <f>IFERROR(COUNTIFS('Daily Planner'!$A$2:$A$182,"&gt;="&amp;B4,'Daily Planner'!$A$2:$A$182,"&lt;="&amp;(B4+6),'Daily Planner'!$H$2:$H$182,"Completed")/COUNTIFS('Daily Planner'!$A$2:$A$182,"&gt;="&amp;B4,'Daily Planner'!$A$2:$A$182,"&lt;="&amp;(B4+6)),0)</f>
        <v>0</v>
      </c>
    </row>
    <row r="5" spans="1:13" ht="21.75" customHeight="1" x14ac:dyDescent="0.3">
      <c r="A5" s="26" t="s">
        <v>147</v>
      </c>
      <c r="B5" s="22">
        <f t="shared" si="0"/>
        <v>46287</v>
      </c>
      <c r="C5" s="26" t="s">
        <v>47</v>
      </c>
      <c r="D5" s="26" t="s">
        <v>17</v>
      </c>
      <c r="E5" s="26" t="s">
        <v>19</v>
      </c>
      <c r="F5" s="26" t="s">
        <v>21</v>
      </c>
      <c r="G5" s="26" t="s">
        <v>23</v>
      </c>
      <c r="H5" s="26" t="s">
        <v>141</v>
      </c>
      <c r="I5" s="26" t="s">
        <v>142</v>
      </c>
      <c r="J5" s="26" t="s">
        <v>143</v>
      </c>
      <c r="K5" s="37" t="s">
        <v>144</v>
      </c>
      <c r="L5" s="37"/>
      <c r="M5" s="38">
        <f>IFERROR(COUNTIFS('Daily Planner'!$A$2:$A$182,"&gt;="&amp;B5,'Daily Planner'!$A$2:$A$182,"&lt;="&amp;(B5+6),'Daily Planner'!$H$2:$H$182,"Completed")/COUNTIFS('Daily Planner'!$A$2:$A$182,"&gt;="&amp;B5,'Daily Planner'!$A$2:$A$182,"&lt;="&amp;(B5+6)),0)</f>
        <v>0</v>
      </c>
    </row>
    <row r="6" spans="1:13" ht="21.75" customHeight="1" x14ac:dyDescent="0.3">
      <c r="A6" s="23" t="s">
        <v>148</v>
      </c>
      <c r="B6" s="25">
        <f t="shared" si="0"/>
        <v>46294</v>
      </c>
      <c r="C6" s="23" t="s">
        <v>47</v>
      </c>
      <c r="D6" s="23" t="s">
        <v>17</v>
      </c>
      <c r="E6" s="23" t="s">
        <v>19</v>
      </c>
      <c r="F6" s="23" t="s">
        <v>21</v>
      </c>
      <c r="G6" s="23" t="s">
        <v>23</v>
      </c>
      <c r="H6" s="23" t="s">
        <v>141</v>
      </c>
      <c r="I6" s="23" t="s">
        <v>142</v>
      </c>
      <c r="J6" s="23" t="s">
        <v>143</v>
      </c>
      <c r="K6" s="35" t="s">
        <v>144</v>
      </c>
      <c r="L6" s="35"/>
      <c r="M6" s="36">
        <f>IFERROR(COUNTIFS('Daily Planner'!$A$2:$A$182,"&gt;="&amp;B6,'Daily Planner'!$A$2:$A$182,"&lt;="&amp;(B6+6),'Daily Planner'!$H$2:$H$182,"Completed")/COUNTIFS('Daily Planner'!$A$2:$A$182,"&gt;="&amp;B6,'Daily Planner'!$A$2:$A$182,"&lt;="&amp;(B6+6)),0)</f>
        <v>0</v>
      </c>
    </row>
    <row r="7" spans="1:13" ht="21.75" customHeight="1" x14ac:dyDescent="0.3">
      <c r="A7" s="26" t="s">
        <v>149</v>
      </c>
      <c r="B7" s="22">
        <f t="shared" si="0"/>
        <v>46301</v>
      </c>
      <c r="C7" s="26" t="s">
        <v>53</v>
      </c>
      <c r="D7" s="26" t="s">
        <v>17</v>
      </c>
      <c r="E7" s="26" t="s">
        <v>19</v>
      </c>
      <c r="F7" s="26" t="s">
        <v>21</v>
      </c>
      <c r="G7" s="26" t="s">
        <v>23</v>
      </c>
      <c r="H7" s="26" t="s">
        <v>141</v>
      </c>
      <c r="I7" s="26" t="s">
        <v>142</v>
      </c>
      <c r="J7" s="26" t="s">
        <v>143</v>
      </c>
      <c r="K7" s="37" t="s">
        <v>150</v>
      </c>
      <c r="L7" s="37"/>
      <c r="M7" s="38">
        <f>IFERROR(COUNTIFS('Daily Planner'!$A$2:$A$182,"&gt;="&amp;B7,'Daily Planner'!$A$2:$A$182,"&lt;="&amp;(B7+6),'Daily Planner'!$H$2:$H$182,"Completed")/COUNTIFS('Daily Planner'!$A$2:$A$182,"&gt;="&amp;B7,'Daily Planner'!$A$2:$A$182,"&lt;="&amp;(B7+6)),0)</f>
        <v>0</v>
      </c>
    </row>
    <row r="8" spans="1:13" ht="21.75" customHeight="1" x14ac:dyDescent="0.3">
      <c r="A8" s="23" t="s">
        <v>151</v>
      </c>
      <c r="B8" s="22">
        <f t="shared" si="0"/>
        <v>46308</v>
      </c>
      <c r="C8" s="23" t="s">
        <v>53</v>
      </c>
      <c r="D8" s="23" t="s">
        <v>17</v>
      </c>
      <c r="E8" s="23" t="s">
        <v>19</v>
      </c>
      <c r="F8" s="23" t="s">
        <v>21</v>
      </c>
      <c r="G8" s="23" t="s">
        <v>23</v>
      </c>
      <c r="H8" s="23" t="s">
        <v>141</v>
      </c>
      <c r="I8" s="23" t="s">
        <v>142</v>
      </c>
      <c r="J8" s="23" t="s">
        <v>143</v>
      </c>
      <c r="K8" s="35" t="s">
        <v>150</v>
      </c>
      <c r="L8" s="35"/>
      <c r="M8" s="36">
        <f>IFERROR(COUNTIFS('Daily Planner'!$A$2:$A$182,"&gt;="&amp;B8,'Daily Planner'!$A$2:$A$182,"&lt;="&amp;(B8+6),'Daily Planner'!$H$2:$H$182,"Completed")/COUNTIFS('Daily Planner'!$A$2:$A$182,"&gt;="&amp;B8,'Daily Planner'!$A$2:$A$182,"&lt;="&amp;(B8+6)),0)</f>
        <v>0</v>
      </c>
    </row>
    <row r="9" spans="1:13" ht="21.75" customHeight="1" x14ac:dyDescent="0.3">
      <c r="A9" s="26" t="s">
        <v>152</v>
      </c>
      <c r="B9" s="25">
        <f t="shared" si="0"/>
        <v>46315</v>
      </c>
      <c r="C9" s="26" t="s">
        <v>53</v>
      </c>
      <c r="D9" s="26" t="s">
        <v>17</v>
      </c>
      <c r="E9" s="26" t="s">
        <v>19</v>
      </c>
      <c r="F9" s="26" t="s">
        <v>21</v>
      </c>
      <c r="G9" s="26" t="s">
        <v>23</v>
      </c>
      <c r="H9" s="26" t="s">
        <v>141</v>
      </c>
      <c r="I9" s="26" t="s">
        <v>142</v>
      </c>
      <c r="J9" s="26" t="s">
        <v>143</v>
      </c>
      <c r="K9" s="37" t="s">
        <v>150</v>
      </c>
      <c r="L9" s="37"/>
      <c r="M9" s="38">
        <f>IFERROR(COUNTIFS('Daily Planner'!$A$2:$A$182,"&gt;="&amp;B9,'Daily Planner'!$A$2:$A$182,"&lt;="&amp;(B9+6),'Daily Planner'!$H$2:$H$182,"Completed")/COUNTIFS('Daily Planner'!$A$2:$A$182,"&gt;="&amp;B9,'Daily Planner'!$A$2:$A$182,"&lt;="&amp;(B9+6)),0)</f>
        <v>0</v>
      </c>
    </row>
    <row r="10" spans="1:13" ht="21.75" customHeight="1" x14ac:dyDescent="0.3">
      <c r="A10" s="23" t="s">
        <v>153</v>
      </c>
      <c r="B10" s="22">
        <f t="shared" si="0"/>
        <v>46322</v>
      </c>
      <c r="C10" s="23" t="s">
        <v>53</v>
      </c>
      <c r="D10" s="23" t="s">
        <v>17</v>
      </c>
      <c r="E10" s="23" t="s">
        <v>19</v>
      </c>
      <c r="F10" s="23" t="s">
        <v>21</v>
      </c>
      <c r="G10" s="23" t="s">
        <v>23</v>
      </c>
      <c r="H10" s="23" t="s">
        <v>141</v>
      </c>
      <c r="I10" s="23" t="s">
        <v>142</v>
      </c>
      <c r="J10" s="23" t="s">
        <v>143</v>
      </c>
      <c r="K10" s="35" t="s">
        <v>150</v>
      </c>
      <c r="L10" s="35"/>
      <c r="M10" s="36">
        <f>IFERROR(COUNTIFS('Daily Planner'!$A$2:$A$182,"&gt;="&amp;B10,'Daily Planner'!$A$2:$A$182,"&lt;="&amp;(B10+6),'Daily Planner'!$H$2:$H$182,"Completed")/COUNTIFS('Daily Planner'!$A$2:$A$182,"&gt;="&amp;B10,'Daily Planner'!$A$2:$A$182,"&lt;="&amp;(B10+6)),0)</f>
        <v>0</v>
      </c>
    </row>
    <row r="11" spans="1:13" ht="21.75" customHeight="1" x14ac:dyDescent="0.3">
      <c r="A11" s="26" t="s">
        <v>154</v>
      </c>
      <c r="B11" s="22">
        <f t="shared" si="0"/>
        <v>46329</v>
      </c>
      <c r="C11" s="26" t="s">
        <v>58</v>
      </c>
      <c r="D11" s="26" t="s">
        <v>17</v>
      </c>
      <c r="E11" s="26" t="s">
        <v>19</v>
      </c>
      <c r="F11" s="26" t="s">
        <v>21</v>
      </c>
      <c r="G11" s="26" t="s">
        <v>23</v>
      </c>
      <c r="H11" s="26" t="s">
        <v>141</v>
      </c>
      <c r="I11" s="26" t="s">
        <v>142</v>
      </c>
      <c r="J11" s="26" t="s">
        <v>143</v>
      </c>
      <c r="K11" s="37" t="s">
        <v>155</v>
      </c>
      <c r="L11" s="37"/>
      <c r="M11" s="38">
        <f>IFERROR(COUNTIFS('Daily Planner'!$A$2:$A$182,"&gt;="&amp;B11,'Daily Planner'!$A$2:$A$182,"&lt;="&amp;(B11+6),'Daily Planner'!$H$2:$H$182,"Completed")/COUNTIFS('Daily Planner'!$A$2:$A$182,"&gt;="&amp;B11,'Daily Planner'!$A$2:$A$182,"&lt;="&amp;(B11+6)),0)</f>
        <v>0</v>
      </c>
    </row>
    <row r="12" spans="1:13" ht="21.75" customHeight="1" x14ac:dyDescent="0.3">
      <c r="A12" s="23" t="s">
        <v>156</v>
      </c>
      <c r="B12" s="25">
        <f t="shared" si="0"/>
        <v>46336</v>
      </c>
      <c r="C12" s="23" t="s">
        <v>58</v>
      </c>
      <c r="D12" s="23" t="s">
        <v>17</v>
      </c>
      <c r="E12" s="23" t="s">
        <v>19</v>
      </c>
      <c r="F12" s="23" t="s">
        <v>21</v>
      </c>
      <c r="G12" s="23" t="s">
        <v>23</v>
      </c>
      <c r="H12" s="23" t="s">
        <v>141</v>
      </c>
      <c r="I12" s="23" t="s">
        <v>142</v>
      </c>
      <c r="J12" s="23" t="s">
        <v>143</v>
      </c>
      <c r="K12" s="35" t="s">
        <v>155</v>
      </c>
      <c r="L12" s="35"/>
      <c r="M12" s="36">
        <f>IFERROR(COUNTIFS('Daily Planner'!$A$2:$A$182,"&gt;="&amp;B12,'Daily Planner'!$A$2:$A$182,"&lt;="&amp;(B12+6),'Daily Planner'!$H$2:$H$182,"Completed")/COUNTIFS('Daily Planner'!$A$2:$A$182,"&gt;="&amp;B12,'Daily Planner'!$A$2:$A$182,"&lt;="&amp;(B12+6)),0)</f>
        <v>0</v>
      </c>
    </row>
    <row r="13" spans="1:13" ht="21.75" customHeight="1" x14ac:dyDescent="0.3">
      <c r="A13" s="26" t="s">
        <v>157</v>
      </c>
      <c r="B13" s="22">
        <f t="shared" si="0"/>
        <v>46343</v>
      </c>
      <c r="C13" s="26" t="s">
        <v>58</v>
      </c>
      <c r="D13" s="26" t="s">
        <v>17</v>
      </c>
      <c r="E13" s="26" t="s">
        <v>19</v>
      </c>
      <c r="F13" s="26" t="s">
        <v>21</v>
      </c>
      <c r="G13" s="26" t="s">
        <v>23</v>
      </c>
      <c r="H13" s="26" t="s">
        <v>141</v>
      </c>
      <c r="I13" s="26" t="s">
        <v>142</v>
      </c>
      <c r="J13" s="26" t="s">
        <v>143</v>
      </c>
      <c r="K13" s="37" t="s">
        <v>155</v>
      </c>
      <c r="L13" s="37"/>
      <c r="M13" s="38">
        <f>IFERROR(COUNTIFS('Daily Planner'!$A$2:$A$182,"&gt;="&amp;B13,'Daily Planner'!$A$2:$A$182,"&lt;="&amp;(B13+6),'Daily Planner'!$H$2:$H$182,"Completed")/COUNTIFS('Daily Planner'!$A$2:$A$182,"&gt;="&amp;B13,'Daily Planner'!$A$2:$A$182,"&lt;="&amp;(B13+6)),0)</f>
        <v>0</v>
      </c>
    </row>
    <row r="14" spans="1:13" ht="21.75" customHeight="1" x14ac:dyDescent="0.3">
      <c r="A14" s="23" t="s">
        <v>158</v>
      </c>
      <c r="B14" s="22">
        <f t="shared" si="0"/>
        <v>46350</v>
      </c>
      <c r="C14" s="23" t="s">
        <v>58</v>
      </c>
      <c r="D14" s="23" t="s">
        <v>17</v>
      </c>
      <c r="E14" s="23" t="s">
        <v>19</v>
      </c>
      <c r="F14" s="23" t="s">
        <v>21</v>
      </c>
      <c r="G14" s="23" t="s">
        <v>23</v>
      </c>
      <c r="H14" s="23" t="s">
        <v>141</v>
      </c>
      <c r="I14" s="23" t="s">
        <v>142</v>
      </c>
      <c r="J14" s="23" t="s">
        <v>143</v>
      </c>
      <c r="K14" s="35" t="s">
        <v>155</v>
      </c>
      <c r="L14" s="35"/>
      <c r="M14" s="36">
        <f>IFERROR(COUNTIFS('Daily Planner'!$A$2:$A$182,"&gt;="&amp;B14,'Daily Planner'!$A$2:$A$182,"&lt;="&amp;(B14+6),'Daily Planner'!$H$2:$H$182,"Completed")/COUNTIFS('Daily Planner'!$A$2:$A$182,"&gt;="&amp;B14,'Daily Planner'!$A$2:$A$182,"&lt;="&amp;(B14+6)),0)</f>
        <v>0</v>
      </c>
    </row>
    <row r="15" spans="1:13" ht="21.75" customHeight="1" x14ac:dyDescent="0.3">
      <c r="A15" s="26" t="s">
        <v>159</v>
      </c>
      <c r="B15" s="25">
        <f t="shared" si="0"/>
        <v>46357</v>
      </c>
      <c r="C15" s="26" t="s">
        <v>58</v>
      </c>
      <c r="D15" s="26" t="s">
        <v>17</v>
      </c>
      <c r="E15" s="26" t="s">
        <v>19</v>
      </c>
      <c r="F15" s="26" t="s">
        <v>21</v>
      </c>
      <c r="G15" s="26" t="s">
        <v>23</v>
      </c>
      <c r="H15" s="26" t="s">
        <v>141</v>
      </c>
      <c r="I15" s="26" t="s">
        <v>142</v>
      </c>
      <c r="J15" s="26" t="s">
        <v>143</v>
      </c>
      <c r="K15" s="37" t="s">
        <v>155</v>
      </c>
      <c r="L15" s="37"/>
      <c r="M15" s="38">
        <f>IFERROR(COUNTIFS('Daily Planner'!$A$2:$A$182,"&gt;="&amp;B15,'Daily Planner'!$A$2:$A$182,"&lt;="&amp;(B15+6),'Daily Planner'!$H$2:$H$182,"Completed")/COUNTIFS('Daily Planner'!$A$2:$A$182,"&gt;="&amp;B15,'Daily Planner'!$A$2:$A$182,"&lt;="&amp;(B15+6)),0)</f>
        <v>0</v>
      </c>
    </row>
    <row r="16" spans="1:13" ht="21.75" customHeight="1" x14ac:dyDescent="0.3">
      <c r="A16" s="23" t="s">
        <v>160</v>
      </c>
      <c r="B16" s="22">
        <f t="shared" si="0"/>
        <v>46364</v>
      </c>
      <c r="C16" s="23" t="s">
        <v>63</v>
      </c>
      <c r="D16" s="23" t="s">
        <v>17</v>
      </c>
      <c r="E16" s="23" t="s">
        <v>19</v>
      </c>
      <c r="F16" s="23" t="s">
        <v>21</v>
      </c>
      <c r="G16" s="23" t="s">
        <v>23</v>
      </c>
      <c r="H16" s="23" t="s">
        <v>141</v>
      </c>
      <c r="I16" s="23" t="s">
        <v>142</v>
      </c>
      <c r="J16" s="23" t="s">
        <v>143</v>
      </c>
      <c r="K16" s="35" t="s">
        <v>161</v>
      </c>
      <c r="L16" s="35"/>
      <c r="M16" s="36">
        <f>IFERROR(COUNTIFS('Daily Planner'!$A$2:$A$182,"&gt;="&amp;B16,'Daily Planner'!$A$2:$A$182,"&lt;="&amp;(B16+6),'Daily Planner'!$H$2:$H$182,"Completed")/COUNTIFS('Daily Planner'!$A$2:$A$182,"&gt;="&amp;B16,'Daily Planner'!$A$2:$A$182,"&lt;="&amp;(B16+6)),0)</f>
        <v>0</v>
      </c>
    </row>
    <row r="17" spans="1:13" ht="21.75" customHeight="1" x14ac:dyDescent="0.3">
      <c r="A17" s="26" t="s">
        <v>162</v>
      </c>
      <c r="B17" s="22">
        <f t="shared" si="0"/>
        <v>46371</v>
      </c>
      <c r="C17" s="26" t="s">
        <v>63</v>
      </c>
      <c r="D17" s="26" t="s">
        <v>17</v>
      </c>
      <c r="E17" s="26" t="s">
        <v>19</v>
      </c>
      <c r="F17" s="26" t="s">
        <v>21</v>
      </c>
      <c r="G17" s="26" t="s">
        <v>23</v>
      </c>
      <c r="H17" s="26" t="s">
        <v>141</v>
      </c>
      <c r="I17" s="26" t="s">
        <v>142</v>
      </c>
      <c r="J17" s="26" t="s">
        <v>143</v>
      </c>
      <c r="K17" s="37" t="s">
        <v>161</v>
      </c>
      <c r="L17" s="37"/>
      <c r="M17" s="38">
        <f>IFERROR(COUNTIFS('Daily Planner'!$A$2:$A$182,"&gt;="&amp;B17,'Daily Planner'!$A$2:$A$182,"&lt;="&amp;(B17+6),'Daily Planner'!$H$2:$H$182,"Completed")/COUNTIFS('Daily Planner'!$A$2:$A$182,"&gt;="&amp;B17,'Daily Planner'!$A$2:$A$182,"&lt;="&amp;(B17+6)),0)</f>
        <v>0</v>
      </c>
    </row>
    <row r="18" spans="1:13" ht="21.75" customHeight="1" x14ac:dyDescent="0.3">
      <c r="A18" s="23" t="s">
        <v>163</v>
      </c>
      <c r="B18" s="25">
        <f t="shared" si="0"/>
        <v>46378</v>
      </c>
      <c r="C18" s="23" t="s">
        <v>63</v>
      </c>
      <c r="D18" s="23" t="s">
        <v>17</v>
      </c>
      <c r="E18" s="23" t="s">
        <v>19</v>
      </c>
      <c r="F18" s="23" t="s">
        <v>21</v>
      </c>
      <c r="G18" s="23" t="s">
        <v>23</v>
      </c>
      <c r="H18" s="23" t="s">
        <v>141</v>
      </c>
      <c r="I18" s="23" t="s">
        <v>142</v>
      </c>
      <c r="J18" s="23" t="s">
        <v>143</v>
      </c>
      <c r="K18" s="35" t="s">
        <v>161</v>
      </c>
      <c r="L18" s="35"/>
      <c r="M18" s="36">
        <f>IFERROR(COUNTIFS('Daily Planner'!$A$2:$A$182,"&gt;="&amp;B18,'Daily Planner'!$A$2:$A$182,"&lt;="&amp;(B18+6),'Daily Planner'!$H$2:$H$182,"Completed")/COUNTIFS('Daily Planner'!$A$2:$A$182,"&gt;="&amp;B18,'Daily Planner'!$A$2:$A$182,"&lt;="&amp;(B18+6)),0)</f>
        <v>0</v>
      </c>
    </row>
    <row r="19" spans="1:13" ht="21.75" customHeight="1" x14ac:dyDescent="0.3">
      <c r="A19" s="26" t="s">
        <v>164</v>
      </c>
      <c r="B19" s="22">
        <f t="shared" si="0"/>
        <v>46385</v>
      </c>
      <c r="C19" s="26" t="s">
        <v>63</v>
      </c>
      <c r="D19" s="26" t="s">
        <v>17</v>
      </c>
      <c r="E19" s="26" t="s">
        <v>19</v>
      </c>
      <c r="F19" s="26" t="s">
        <v>21</v>
      </c>
      <c r="G19" s="26" t="s">
        <v>23</v>
      </c>
      <c r="H19" s="26" t="s">
        <v>141</v>
      </c>
      <c r="I19" s="26" t="s">
        <v>142</v>
      </c>
      <c r="J19" s="26" t="s">
        <v>143</v>
      </c>
      <c r="K19" s="37" t="s">
        <v>161</v>
      </c>
      <c r="L19" s="37"/>
      <c r="M19" s="38">
        <f>IFERROR(COUNTIFS('Daily Planner'!$A$2:$A$182,"&gt;="&amp;B19,'Daily Planner'!$A$2:$A$182,"&lt;="&amp;(B19+6),'Daily Planner'!$H$2:$H$182,"Completed")/COUNTIFS('Daily Planner'!$A$2:$A$182,"&gt;="&amp;B19,'Daily Planner'!$A$2:$A$182,"&lt;="&amp;(B19+6)),0)</f>
        <v>0</v>
      </c>
    </row>
    <row r="20" spans="1:13" ht="21.75" customHeight="1" x14ac:dyDescent="0.3">
      <c r="A20" s="23" t="s">
        <v>165</v>
      </c>
      <c r="B20" s="22">
        <f t="shared" si="0"/>
        <v>46392</v>
      </c>
      <c r="C20" s="23" t="s">
        <v>68</v>
      </c>
      <c r="D20" s="23" t="s">
        <v>17</v>
      </c>
      <c r="E20" s="23" t="s">
        <v>19</v>
      </c>
      <c r="F20" s="23" t="s">
        <v>21</v>
      </c>
      <c r="G20" s="23" t="s">
        <v>23</v>
      </c>
      <c r="H20" s="23" t="s">
        <v>141</v>
      </c>
      <c r="I20" s="23" t="s">
        <v>142</v>
      </c>
      <c r="J20" s="23" t="s">
        <v>143</v>
      </c>
      <c r="K20" s="35" t="s">
        <v>166</v>
      </c>
      <c r="L20" s="35"/>
      <c r="M20" s="36">
        <f>IFERROR(COUNTIFS('Daily Planner'!$A$2:$A$182,"&gt;="&amp;B20,'Daily Planner'!$A$2:$A$182,"&lt;="&amp;(B20+6),'Daily Planner'!$H$2:$H$182,"Completed")/COUNTIFS('Daily Planner'!$A$2:$A$182,"&gt;="&amp;B20,'Daily Planner'!$A$2:$A$182,"&lt;="&amp;(B20+6)),0)</f>
        <v>0</v>
      </c>
    </row>
    <row r="21" spans="1:13" ht="21.75" customHeight="1" x14ac:dyDescent="0.3">
      <c r="A21" s="26" t="s">
        <v>167</v>
      </c>
      <c r="B21" s="25">
        <f t="shared" si="0"/>
        <v>46399</v>
      </c>
      <c r="C21" s="26" t="s">
        <v>68</v>
      </c>
      <c r="D21" s="26" t="s">
        <v>17</v>
      </c>
      <c r="E21" s="26" t="s">
        <v>19</v>
      </c>
      <c r="F21" s="26" t="s">
        <v>21</v>
      </c>
      <c r="G21" s="26" t="s">
        <v>23</v>
      </c>
      <c r="H21" s="26" t="s">
        <v>141</v>
      </c>
      <c r="I21" s="26" t="s">
        <v>142</v>
      </c>
      <c r="J21" s="26" t="s">
        <v>143</v>
      </c>
      <c r="K21" s="37" t="s">
        <v>166</v>
      </c>
      <c r="L21" s="37"/>
      <c r="M21" s="38">
        <f>IFERROR(COUNTIFS('Daily Planner'!$A$2:$A$182,"&gt;="&amp;B21,'Daily Planner'!$A$2:$A$182,"&lt;="&amp;(B21+6),'Daily Planner'!$H$2:$H$182,"Completed")/COUNTIFS('Daily Planner'!$A$2:$A$182,"&gt;="&amp;B21,'Daily Planner'!$A$2:$A$182,"&lt;="&amp;(B21+6)),0)</f>
        <v>0</v>
      </c>
    </row>
    <row r="22" spans="1:13" ht="21.75" customHeight="1" x14ac:dyDescent="0.3">
      <c r="A22" s="23" t="s">
        <v>168</v>
      </c>
      <c r="B22" s="22">
        <f t="shared" si="0"/>
        <v>46406</v>
      </c>
      <c r="C22" s="23" t="s">
        <v>68</v>
      </c>
      <c r="D22" s="23" t="s">
        <v>17</v>
      </c>
      <c r="E22" s="23" t="s">
        <v>19</v>
      </c>
      <c r="F22" s="23" t="s">
        <v>21</v>
      </c>
      <c r="G22" s="23" t="s">
        <v>23</v>
      </c>
      <c r="H22" s="23" t="s">
        <v>141</v>
      </c>
      <c r="I22" s="23" t="s">
        <v>142</v>
      </c>
      <c r="J22" s="23" t="s">
        <v>143</v>
      </c>
      <c r="K22" s="35" t="s">
        <v>166</v>
      </c>
      <c r="L22" s="35"/>
      <c r="M22" s="36">
        <f>IFERROR(COUNTIFS('Daily Planner'!$A$2:$A$182,"&gt;="&amp;B22,'Daily Planner'!$A$2:$A$182,"&lt;="&amp;(B22+6),'Daily Planner'!$H$2:$H$182,"Completed")/COUNTIFS('Daily Planner'!$A$2:$A$182,"&gt;="&amp;B22,'Daily Planner'!$A$2:$A$182,"&lt;="&amp;(B22+6)),0)</f>
        <v>0</v>
      </c>
    </row>
    <row r="23" spans="1:13" ht="21.75" customHeight="1" x14ac:dyDescent="0.3">
      <c r="A23" s="26" t="s">
        <v>169</v>
      </c>
      <c r="B23" s="22">
        <f t="shared" si="0"/>
        <v>46413</v>
      </c>
      <c r="C23" s="26" t="s">
        <v>68</v>
      </c>
      <c r="D23" s="26" t="s">
        <v>17</v>
      </c>
      <c r="E23" s="26" t="s">
        <v>19</v>
      </c>
      <c r="F23" s="26" t="s">
        <v>21</v>
      </c>
      <c r="G23" s="26" t="s">
        <v>23</v>
      </c>
      <c r="H23" s="26" t="s">
        <v>141</v>
      </c>
      <c r="I23" s="26" t="s">
        <v>142</v>
      </c>
      <c r="J23" s="26" t="s">
        <v>143</v>
      </c>
      <c r="K23" s="37" t="s">
        <v>166</v>
      </c>
      <c r="L23" s="37"/>
      <c r="M23" s="38">
        <f>IFERROR(COUNTIFS('Daily Planner'!$A$2:$A$182,"&gt;="&amp;B23,'Daily Planner'!$A$2:$A$182,"&lt;="&amp;(B23+6),'Daily Planner'!$H$2:$H$182,"Completed")/COUNTIFS('Daily Planner'!$A$2:$A$182,"&gt;="&amp;B23,'Daily Planner'!$A$2:$A$182,"&lt;="&amp;(B23+6)),0)</f>
        <v>0</v>
      </c>
    </row>
    <row r="24" spans="1:13" ht="21.75" customHeight="1" x14ac:dyDescent="0.3">
      <c r="A24" s="23" t="s">
        <v>170</v>
      </c>
      <c r="B24" s="25">
        <f t="shared" si="0"/>
        <v>46420</v>
      </c>
      <c r="C24" s="23" t="s">
        <v>73</v>
      </c>
      <c r="D24" s="23" t="s">
        <v>17</v>
      </c>
      <c r="E24" s="23" t="s">
        <v>19</v>
      </c>
      <c r="F24" s="23" t="s">
        <v>21</v>
      </c>
      <c r="G24" s="23" t="s">
        <v>23</v>
      </c>
      <c r="H24" s="23" t="s">
        <v>141</v>
      </c>
      <c r="I24" s="23" t="s">
        <v>142</v>
      </c>
      <c r="J24" s="23" t="s">
        <v>143</v>
      </c>
      <c r="K24" s="35" t="s">
        <v>171</v>
      </c>
      <c r="L24" s="35"/>
      <c r="M24" s="36">
        <f>IFERROR(COUNTIFS('Daily Planner'!$A$2:$A$182,"&gt;="&amp;B24,'Daily Planner'!$A$2:$A$182,"&lt;="&amp;(B24+6),'Daily Planner'!$H$2:$H$182,"Completed")/COUNTIFS('Daily Planner'!$A$2:$A$182,"&gt;="&amp;B24,'Daily Planner'!$A$2:$A$182,"&lt;="&amp;(B24+6)),0)</f>
        <v>0</v>
      </c>
    </row>
    <row r="25" spans="1:13" ht="21.75" customHeight="1" x14ac:dyDescent="0.3">
      <c r="A25" s="26" t="s">
        <v>172</v>
      </c>
      <c r="B25" s="22">
        <f t="shared" si="0"/>
        <v>46427</v>
      </c>
      <c r="C25" s="26" t="s">
        <v>73</v>
      </c>
      <c r="D25" s="26" t="s">
        <v>17</v>
      </c>
      <c r="E25" s="26" t="s">
        <v>19</v>
      </c>
      <c r="F25" s="26" t="s">
        <v>21</v>
      </c>
      <c r="G25" s="26" t="s">
        <v>23</v>
      </c>
      <c r="H25" s="26" t="s">
        <v>141</v>
      </c>
      <c r="I25" s="26" t="s">
        <v>142</v>
      </c>
      <c r="J25" s="26" t="s">
        <v>143</v>
      </c>
      <c r="K25" s="37" t="s">
        <v>171</v>
      </c>
      <c r="L25" s="37"/>
      <c r="M25" s="38">
        <f>IFERROR(COUNTIFS('Daily Planner'!$A$2:$A$182,"&gt;="&amp;B25,'Daily Planner'!$A$2:$A$182,"&lt;="&amp;(B25+6),'Daily Planner'!$H$2:$H$182,"Completed")/COUNTIFS('Daily Planner'!$A$2:$A$182,"&gt;="&amp;B25,'Daily Planner'!$A$2:$A$182,"&lt;="&amp;(B25+6)),0)</f>
        <v>0</v>
      </c>
    </row>
    <row r="26" spans="1:13" ht="21.75" customHeight="1" x14ac:dyDescent="0.3">
      <c r="A26" s="23" t="s">
        <v>173</v>
      </c>
      <c r="B26" s="22">
        <f t="shared" si="0"/>
        <v>46434</v>
      </c>
      <c r="C26" s="23" t="s">
        <v>73</v>
      </c>
      <c r="D26" s="23" t="s">
        <v>17</v>
      </c>
      <c r="E26" s="23" t="s">
        <v>19</v>
      </c>
      <c r="F26" s="23" t="s">
        <v>21</v>
      </c>
      <c r="G26" s="23" t="s">
        <v>23</v>
      </c>
      <c r="H26" s="23" t="s">
        <v>141</v>
      </c>
      <c r="I26" s="23" t="s">
        <v>142</v>
      </c>
      <c r="J26" s="23" t="s">
        <v>143</v>
      </c>
      <c r="K26" s="35" t="s">
        <v>171</v>
      </c>
      <c r="L26" s="35"/>
      <c r="M26" s="36">
        <f>IFERROR(COUNTIFS('Daily Planner'!$A$2:$A$182,"&gt;="&amp;B26,'Daily Planner'!$A$2:$A$182,"&lt;="&amp;(B26+6),'Daily Planner'!$H$2:$H$182,"Completed")/COUNTIFS('Daily Planner'!$A$2:$A$182,"&gt;="&amp;B26,'Daily Planner'!$A$2:$A$182,"&lt;="&amp;(B26+6)),0)</f>
        <v>0</v>
      </c>
    </row>
    <row r="27" spans="1:13" ht="21.75" customHeight="1" x14ac:dyDescent="0.3">
      <c r="A27" s="26" t="s">
        <v>174</v>
      </c>
      <c r="B27" s="25">
        <f t="shared" si="0"/>
        <v>46441</v>
      </c>
      <c r="C27" s="26" t="s">
        <v>73</v>
      </c>
      <c r="D27" s="26" t="s">
        <v>17</v>
      </c>
      <c r="E27" s="26" t="s">
        <v>19</v>
      </c>
      <c r="F27" s="26" t="s">
        <v>21</v>
      </c>
      <c r="G27" s="26" t="s">
        <v>23</v>
      </c>
      <c r="H27" s="26" t="s">
        <v>141</v>
      </c>
      <c r="I27" s="26" t="s">
        <v>142</v>
      </c>
      <c r="J27" s="26" t="s">
        <v>143</v>
      </c>
      <c r="K27" s="37" t="s">
        <v>171</v>
      </c>
      <c r="L27" s="37"/>
      <c r="M27" s="38">
        <f>IFERROR(COUNTIFS('Daily Planner'!$A$2:$A$182,"&gt;="&amp;B27,'Daily Planner'!$A$2:$A$182,"&lt;="&amp;(B27+6),'Daily Planner'!$H$2:$H$182,"Completed")/COUNTIFS('Daily Planner'!$A$2:$A$182,"&gt;="&amp;B27,'Daily Planner'!$A$2:$A$182,"&lt;="&amp;(B27+6)),0)</f>
        <v>0</v>
      </c>
    </row>
    <row r="28" spans="1:13" ht="21.75" customHeight="1" x14ac:dyDescent="0.3">
      <c r="A28" s="23" t="s">
        <v>175</v>
      </c>
      <c r="B28" s="22">
        <f t="shared" si="0"/>
        <v>46448</v>
      </c>
      <c r="C28" s="23" t="s">
        <v>73</v>
      </c>
      <c r="D28" s="23" t="s">
        <v>17</v>
      </c>
      <c r="E28" s="23" t="s">
        <v>19</v>
      </c>
      <c r="F28" s="23" t="s">
        <v>21</v>
      </c>
      <c r="G28" s="23" t="s">
        <v>23</v>
      </c>
      <c r="H28" s="23" t="s">
        <v>141</v>
      </c>
      <c r="I28" s="23" t="s">
        <v>142</v>
      </c>
      <c r="J28" s="23" t="s">
        <v>143</v>
      </c>
      <c r="K28" s="35" t="s">
        <v>171</v>
      </c>
      <c r="L28" s="35"/>
      <c r="M28" s="36">
        <f>IFERROR(COUNTIFS('Daily Planner'!$A$2:$A$182,"&gt;="&amp;B28,'Daily Planner'!$A$2:$A$182,"&lt;="&amp;(B28+6),'Daily Planner'!$H$2:$H$182,"Completed")/COUNTIFS('Daily Planner'!$A$2:$A$182,"&gt;="&amp;B28,'Daily Planner'!$A$2:$A$182,"&lt;="&amp;(B28+6)),0)</f>
        <v>0</v>
      </c>
    </row>
  </sheetData>
  <conditionalFormatting sqref="C2:C28">
    <cfRule type="expression" dxfId="13" priority="3">
      <formula>$C2="Career Foundation"</formula>
    </cfRule>
    <cfRule type="expression" dxfId="12" priority="4">
      <formula>$C2="Excel + HR Operations"</formula>
    </cfRule>
    <cfRule type="expression" dxfId="11" priority="5">
      <formula>$C2="HR Analytics"</formula>
    </cfRule>
    <cfRule type="expression" dxfId="10" priority="6">
      <formula>$C2="Interview + Communication"</formula>
    </cfRule>
    <cfRule type="expression" dxfId="9" priority="7">
      <formula>$C2="Projects + AI"</formula>
    </cfRule>
    <cfRule type="expression" dxfId="8" priority="8">
      <formula>$C2="Job Search + Career Launch"</formula>
    </cfRule>
  </conditionalFormatting>
  <conditionalFormatting sqref="M2:M28">
    <cfRule type="dataBar" priority="2">
      <dataBar>
        <cfvo type="num" val="0"/>
        <cfvo type="num" val="1"/>
        <color rgb="FF7C3AED"/>
      </dataBar>
      <extLst>
        <ext xmlns:x14="http://schemas.microsoft.com/office/spreadsheetml/2009/9/main" uri="{B025F937-C7B1-47D3-B67F-A62EFF666E3E}">
          <x14:id>{4D676961-49C6-428C-B4E2-6CCC00DEA276}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676961-49C6-428C-B4E2-6CCC00DEA27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C3AED"/>
            </x14:dataBar>
          </x14:cfRule>
          <xm:sqref>M2:M28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10" customWidth="1"/>
  </cols>
  <sheetData>
    <row r="1" spans="1:2" ht="19.5" customHeight="1" x14ac:dyDescent="0.3">
      <c r="A1" s="15" t="s">
        <v>37</v>
      </c>
      <c r="B1" s="15" t="s">
        <v>176</v>
      </c>
    </row>
    <row r="2" spans="1:2" x14ac:dyDescent="0.3">
      <c r="A2" s="39" t="s">
        <v>46</v>
      </c>
      <c r="B2" s="40">
        <f>COUNTIF('6-Month Roadmap'!B2:B7,"Phase 1")</f>
        <v>1</v>
      </c>
    </row>
    <row r="3" spans="1:2" x14ac:dyDescent="0.3">
      <c r="A3" s="41" t="s">
        <v>52</v>
      </c>
      <c r="B3" s="40">
        <f>COUNTIF('6-Month Roadmap'!B2:B7,"Phase 2")</f>
        <v>1</v>
      </c>
    </row>
    <row r="4" spans="1:2" x14ac:dyDescent="0.3">
      <c r="A4" s="42" t="s">
        <v>57</v>
      </c>
      <c r="B4" s="40">
        <f>COUNTIF('6-Month Roadmap'!B2:B7,"Phase 3")</f>
        <v>1</v>
      </c>
    </row>
    <row r="5" spans="1:2" x14ac:dyDescent="0.3">
      <c r="A5" s="43" t="s">
        <v>62</v>
      </c>
      <c r="B5" s="40">
        <f>COUNTIF('6-Month Roadmap'!B2:B7,"Phase 4")</f>
        <v>1</v>
      </c>
    </row>
    <row r="6" spans="1:2" x14ac:dyDescent="0.3">
      <c r="A6" s="44" t="s">
        <v>67</v>
      </c>
      <c r="B6" s="40">
        <f>COUNTIF('6-Month Roadmap'!B2:B7,"Phase 5")</f>
        <v>1</v>
      </c>
    </row>
    <row r="7" spans="1:2" x14ac:dyDescent="0.3">
      <c r="A7" s="45" t="s">
        <v>72</v>
      </c>
      <c r="B7" s="40">
        <f>COUNTIF('6-Month Roadmap'!B2:B7,"Phase 6")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40" customWidth="1"/>
    <col min="3" max="3" width="34" customWidth="1"/>
    <col min="4" max="4" width="28" customWidth="1"/>
    <col min="5" max="5" width="18" customWidth="1"/>
  </cols>
  <sheetData>
    <row r="1" spans="1:5" ht="24" customHeight="1" x14ac:dyDescent="0.3">
      <c r="A1" s="15" t="s">
        <v>177</v>
      </c>
      <c r="B1" s="15" t="s">
        <v>178</v>
      </c>
      <c r="C1" s="15" t="s">
        <v>179</v>
      </c>
      <c r="D1" s="15" t="s">
        <v>180</v>
      </c>
      <c r="E1" s="15" t="s">
        <v>181</v>
      </c>
    </row>
    <row r="2" spans="1:5" ht="31.5" customHeight="1" x14ac:dyDescent="0.3">
      <c r="A2" s="46" t="s">
        <v>47</v>
      </c>
      <c r="B2" s="47" t="s">
        <v>182</v>
      </c>
      <c r="C2" s="47" t="s">
        <v>183</v>
      </c>
      <c r="D2" s="47" t="s">
        <v>184</v>
      </c>
      <c r="E2" s="46" t="s">
        <v>185</v>
      </c>
    </row>
    <row r="3" spans="1:5" ht="31.5" customHeight="1" x14ac:dyDescent="0.3">
      <c r="A3" s="48" t="s">
        <v>186</v>
      </c>
      <c r="B3" s="49" t="s">
        <v>187</v>
      </c>
      <c r="C3" s="49" t="s">
        <v>188</v>
      </c>
      <c r="D3" s="49" t="s">
        <v>189</v>
      </c>
      <c r="E3" s="48" t="s">
        <v>190</v>
      </c>
    </row>
    <row r="4" spans="1:5" ht="31.5" customHeight="1" x14ac:dyDescent="0.3">
      <c r="A4" s="46" t="s">
        <v>191</v>
      </c>
      <c r="B4" s="47" t="s">
        <v>192</v>
      </c>
      <c r="C4" s="47" t="s">
        <v>193</v>
      </c>
      <c r="D4" s="47" t="s">
        <v>194</v>
      </c>
      <c r="E4" s="46" t="s">
        <v>185</v>
      </c>
    </row>
    <row r="5" spans="1:5" ht="31.5" customHeight="1" x14ac:dyDescent="0.3">
      <c r="A5" s="48" t="s">
        <v>58</v>
      </c>
      <c r="B5" s="49" t="s">
        <v>195</v>
      </c>
      <c r="C5" s="49" t="s">
        <v>196</v>
      </c>
      <c r="D5" s="49" t="s">
        <v>197</v>
      </c>
      <c r="E5" s="48" t="s">
        <v>190</v>
      </c>
    </row>
    <row r="6" spans="1:5" ht="31.5" customHeight="1" x14ac:dyDescent="0.3">
      <c r="A6" s="46" t="s">
        <v>198</v>
      </c>
      <c r="B6" s="47" t="s">
        <v>199</v>
      </c>
      <c r="C6" s="47" t="s">
        <v>200</v>
      </c>
      <c r="D6" s="47" t="s">
        <v>201</v>
      </c>
      <c r="E6" s="46" t="s">
        <v>185</v>
      </c>
    </row>
    <row r="7" spans="1:5" ht="31.5" customHeight="1" x14ac:dyDescent="0.3">
      <c r="A7" s="48" t="s">
        <v>202</v>
      </c>
      <c r="B7" s="49" t="s">
        <v>203</v>
      </c>
      <c r="C7" s="49" t="s">
        <v>204</v>
      </c>
      <c r="D7" s="49" t="s">
        <v>205</v>
      </c>
      <c r="E7" s="48" t="s">
        <v>206</v>
      </c>
    </row>
    <row r="8" spans="1:5" ht="31.5" customHeight="1" x14ac:dyDescent="0.3">
      <c r="A8" s="46" t="s">
        <v>68</v>
      </c>
      <c r="B8" s="47" t="s">
        <v>207</v>
      </c>
      <c r="C8" s="47" t="s">
        <v>208</v>
      </c>
      <c r="D8" s="47" t="s">
        <v>209</v>
      </c>
      <c r="E8" s="46" t="s">
        <v>190</v>
      </c>
    </row>
    <row r="9" spans="1:5" ht="31.5" customHeight="1" x14ac:dyDescent="0.3">
      <c r="A9" s="48" t="s">
        <v>210</v>
      </c>
      <c r="B9" s="49" t="s">
        <v>211</v>
      </c>
      <c r="C9" s="49" t="s">
        <v>212</v>
      </c>
      <c r="D9" s="49" t="s">
        <v>213</v>
      </c>
      <c r="E9" s="48" t="s">
        <v>214</v>
      </c>
    </row>
  </sheetData>
  <conditionalFormatting sqref="A2:A9">
    <cfRule type="expression" dxfId="7" priority="2">
      <formula>$A2="Career Foundation"</formula>
    </cfRule>
    <cfRule type="expression" dxfId="6" priority="3">
      <formula>$A2="Excel"</formula>
    </cfRule>
    <cfRule type="expression" dxfId="5" priority="4">
      <formula>$A2="HR Operations"</formula>
    </cfRule>
    <cfRule type="expression" dxfId="4" priority="5">
      <formula>$A2="HR Analytics"</formula>
    </cfRule>
    <cfRule type="expression" dxfId="3" priority="6">
      <formula>$A2="Interview Prep"</formula>
    </cfRule>
    <cfRule type="expression" dxfId="2" priority="7">
      <formula>$A2="Communication"</formula>
    </cfRule>
    <cfRule type="expression" dxfId="1" priority="8">
      <formula>$A2="Projects + AI"</formula>
    </cfRule>
    <cfRule type="expression" dxfId="0" priority="9">
      <formula>$A2="Job Search"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Dashboard</vt:lpstr>
      <vt:lpstr>6-Month Roadmap</vt:lpstr>
      <vt:lpstr>Daily Planner</vt:lpstr>
      <vt:lpstr>Weekly Planner</vt:lpstr>
      <vt:lpstr>Chart Data</vt:lpstr>
      <vt:lpstr>Resources &amp; Ideas</vt:lpstr>
      <vt:lpstr>'6-Month Roadmap'!Print_Titles</vt:lpstr>
      <vt:lpstr>'Daily Planner'!Print_Titles</vt:lpstr>
      <vt:lpstr>'Weekly Planner'!Print_Titles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Jeeva_M</dc:creator>
  <dc:description/>
  <cp:lastModifiedBy>JEEVA M</cp:lastModifiedBy>
  <cp:revision>1</cp:revision>
  <dcterms:created xsi:type="dcterms:W3CDTF">2026-08-15T06:38:49Z</dcterms:created>
  <dcterms:modified xsi:type="dcterms:W3CDTF">2026-08-15T16:43:48Z</dcterms:modified>
  <dc:language>en-US</dc:language>
</cp:coreProperties>
</file>