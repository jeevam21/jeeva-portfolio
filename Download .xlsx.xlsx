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EVA\Downloads\"/>
    </mc:Choice>
  </mc:AlternateContent>
  <xr:revisionPtr revIDLastSave="0" documentId="13_ncr:1_{3907E9AF-35A6-4CDC-AD6A-AD9282F7E12F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HR Command Center" sheetId="1" r:id="rId1"/>
    <sheet name="Lists" sheetId="2" state="hidden" r:id="rId2"/>
    <sheet name="Employee Master" sheetId="3" r:id="rId3"/>
    <sheet name="Attendance" sheetId="4" r:id="rId4"/>
    <sheet name="Leave Tracker" sheetId="5" r:id="rId5"/>
    <sheet name="OT Tracker" sheetId="6" r:id="rId6"/>
    <sheet name="Document Tracker" sheetId="7" r:id="rId7"/>
    <sheet name="Expiry Tracker" sheetId="8" r:id="rId8"/>
    <sheet name="Payroll" sheetId="9" r:id="rId9"/>
    <sheet name="README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09" i="9" l="1"/>
  <c r="F209" i="9"/>
  <c r="E209" i="9"/>
  <c r="L209" i="9" s="1"/>
  <c r="D209" i="9"/>
  <c r="C209" i="9"/>
  <c r="J208" i="9"/>
  <c r="F208" i="9"/>
  <c r="M208" i="9" s="1"/>
  <c r="E208" i="9"/>
  <c r="L208" i="9" s="1"/>
  <c r="D208" i="9"/>
  <c r="C208" i="9"/>
  <c r="J207" i="9"/>
  <c r="F207" i="9"/>
  <c r="M207" i="9" s="1"/>
  <c r="E207" i="9"/>
  <c r="L207" i="9" s="1"/>
  <c r="D207" i="9"/>
  <c r="C207" i="9"/>
  <c r="J206" i="9"/>
  <c r="F206" i="9"/>
  <c r="M206" i="9" s="1"/>
  <c r="E206" i="9"/>
  <c r="L206" i="9" s="1"/>
  <c r="D206" i="9"/>
  <c r="C206" i="9"/>
  <c r="J205" i="9"/>
  <c r="F205" i="9"/>
  <c r="E205" i="9"/>
  <c r="L205" i="9" s="1"/>
  <c r="D205" i="9"/>
  <c r="C205" i="9"/>
  <c r="J204" i="9"/>
  <c r="F204" i="9"/>
  <c r="I204" i="9" s="1"/>
  <c r="E204" i="9"/>
  <c r="L204" i="9" s="1"/>
  <c r="D204" i="9"/>
  <c r="C204" i="9"/>
  <c r="J203" i="9"/>
  <c r="F203" i="9"/>
  <c r="I203" i="9" s="1"/>
  <c r="E203" i="9"/>
  <c r="L203" i="9" s="1"/>
  <c r="D203" i="9"/>
  <c r="C203" i="9"/>
  <c r="J202" i="9"/>
  <c r="F202" i="9"/>
  <c r="E202" i="9"/>
  <c r="L202" i="9" s="1"/>
  <c r="D202" i="9"/>
  <c r="C202" i="9"/>
  <c r="J201" i="9"/>
  <c r="F201" i="9"/>
  <c r="I201" i="9" s="1"/>
  <c r="E201" i="9"/>
  <c r="L201" i="9" s="1"/>
  <c r="D201" i="9"/>
  <c r="C201" i="9"/>
  <c r="J200" i="9"/>
  <c r="F200" i="9"/>
  <c r="E200" i="9"/>
  <c r="L200" i="9" s="1"/>
  <c r="D200" i="9"/>
  <c r="C200" i="9"/>
  <c r="J199" i="9"/>
  <c r="F199" i="9"/>
  <c r="I199" i="9" s="1"/>
  <c r="E199" i="9"/>
  <c r="L199" i="9" s="1"/>
  <c r="D199" i="9"/>
  <c r="C199" i="9"/>
  <c r="J198" i="9"/>
  <c r="F198" i="9"/>
  <c r="M198" i="9" s="1"/>
  <c r="E198" i="9"/>
  <c r="L198" i="9" s="1"/>
  <c r="D198" i="9"/>
  <c r="C198" i="9"/>
  <c r="J197" i="9"/>
  <c r="F197" i="9"/>
  <c r="M197" i="9" s="1"/>
  <c r="E197" i="9"/>
  <c r="L197" i="9" s="1"/>
  <c r="D197" i="9"/>
  <c r="C197" i="9"/>
  <c r="J196" i="9"/>
  <c r="F196" i="9"/>
  <c r="E196" i="9"/>
  <c r="L196" i="9" s="1"/>
  <c r="D196" i="9"/>
  <c r="C196" i="9"/>
  <c r="J195" i="9"/>
  <c r="F195" i="9"/>
  <c r="I195" i="9" s="1"/>
  <c r="E195" i="9"/>
  <c r="L195" i="9" s="1"/>
  <c r="D195" i="9"/>
  <c r="C195" i="9"/>
  <c r="J194" i="9"/>
  <c r="F194" i="9"/>
  <c r="I194" i="9" s="1"/>
  <c r="E194" i="9"/>
  <c r="L194" i="9" s="1"/>
  <c r="D194" i="9"/>
  <c r="C194" i="9"/>
  <c r="J193" i="9"/>
  <c r="F193" i="9"/>
  <c r="E193" i="9"/>
  <c r="L193" i="9" s="1"/>
  <c r="D193" i="9"/>
  <c r="C193" i="9"/>
  <c r="J192" i="9"/>
  <c r="F192" i="9"/>
  <c r="E192" i="9"/>
  <c r="L192" i="9" s="1"/>
  <c r="D192" i="9"/>
  <c r="C192" i="9"/>
  <c r="J191" i="9"/>
  <c r="F191" i="9"/>
  <c r="I191" i="9" s="1"/>
  <c r="E191" i="9"/>
  <c r="L191" i="9" s="1"/>
  <c r="D191" i="9"/>
  <c r="C191" i="9"/>
  <c r="J190" i="9"/>
  <c r="F190" i="9"/>
  <c r="M190" i="9" s="1"/>
  <c r="E190" i="9"/>
  <c r="L190" i="9" s="1"/>
  <c r="D190" i="9"/>
  <c r="C190" i="9"/>
  <c r="J189" i="9"/>
  <c r="F189" i="9"/>
  <c r="M189" i="9" s="1"/>
  <c r="E189" i="9"/>
  <c r="L189" i="9" s="1"/>
  <c r="D189" i="9"/>
  <c r="C189" i="9"/>
  <c r="J188" i="9"/>
  <c r="F188" i="9"/>
  <c r="E188" i="9"/>
  <c r="L188" i="9" s="1"/>
  <c r="D188" i="9"/>
  <c r="C188" i="9"/>
  <c r="J187" i="9"/>
  <c r="F187" i="9"/>
  <c r="I187" i="9" s="1"/>
  <c r="E187" i="9"/>
  <c r="L187" i="9" s="1"/>
  <c r="D187" i="9"/>
  <c r="C187" i="9"/>
  <c r="J186" i="9"/>
  <c r="F186" i="9"/>
  <c r="I186" i="9" s="1"/>
  <c r="E186" i="9"/>
  <c r="L186" i="9" s="1"/>
  <c r="D186" i="9"/>
  <c r="C186" i="9"/>
  <c r="J185" i="9"/>
  <c r="F185" i="9"/>
  <c r="E185" i="9"/>
  <c r="L185" i="9" s="1"/>
  <c r="D185" i="9"/>
  <c r="C185" i="9"/>
  <c r="J184" i="9"/>
  <c r="F184" i="9"/>
  <c r="E184" i="9"/>
  <c r="L184" i="9" s="1"/>
  <c r="D184" i="9"/>
  <c r="C184" i="9"/>
  <c r="J183" i="9"/>
  <c r="F183" i="9"/>
  <c r="I183" i="9" s="1"/>
  <c r="E183" i="9"/>
  <c r="L183" i="9" s="1"/>
  <c r="D183" i="9"/>
  <c r="C183" i="9"/>
  <c r="J182" i="9"/>
  <c r="F182" i="9"/>
  <c r="M182" i="9" s="1"/>
  <c r="E182" i="9"/>
  <c r="L182" i="9" s="1"/>
  <c r="D182" i="9"/>
  <c r="C182" i="9"/>
  <c r="J181" i="9"/>
  <c r="F181" i="9"/>
  <c r="M181" i="9" s="1"/>
  <c r="E181" i="9"/>
  <c r="L181" i="9" s="1"/>
  <c r="D181" i="9"/>
  <c r="C181" i="9"/>
  <c r="J180" i="9"/>
  <c r="F180" i="9"/>
  <c r="E180" i="9"/>
  <c r="L180" i="9" s="1"/>
  <c r="D180" i="9"/>
  <c r="C180" i="9"/>
  <c r="J179" i="9"/>
  <c r="F179" i="9"/>
  <c r="I179" i="9" s="1"/>
  <c r="E179" i="9"/>
  <c r="L179" i="9" s="1"/>
  <c r="D179" i="9"/>
  <c r="C179" i="9"/>
  <c r="J178" i="9"/>
  <c r="F178" i="9"/>
  <c r="I178" i="9" s="1"/>
  <c r="E178" i="9"/>
  <c r="L178" i="9" s="1"/>
  <c r="D178" i="9"/>
  <c r="C178" i="9"/>
  <c r="J177" i="9"/>
  <c r="F177" i="9"/>
  <c r="E177" i="9"/>
  <c r="L177" i="9" s="1"/>
  <c r="D177" i="9"/>
  <c r="C177" i="9"/>
  <c r="J176" i="9"/>
  <c r="F176" i="9"/>
  <c r="E176" i="9"/>
  <c r="L176" i="9" s="1"/>
  <c r="D176" i="9"/>
  <c r="C176" i="9"/>
  <c r="J175" i="9"/>
  <c r="F175" i="9"/>
  <c r="I175" i="9" s="1"/>
  <c r="E175" i="9"/>
  <c r="L175" i="9" s="1"/>
  <c r="D175" i="9"/>
  <c r="C175" i="9"/>
  <c r="J174" i="9"/>
  <c r="F174" i="9"/>
  <c r="M174" i="9" s="1"/>
  <c r="E174" i="9"/>
  <c r="L174" i="9" s="1"/>
  <c r="D174" i="9"/>
  <c r="C174" i="9"/>
  <c r="J173" i="9"/>
  <c r="F173" i="9"/>
  <c r="M173" i="9" s="1"/>
  <c r="E173" i="9"/>
  <c r="L173" i="9" s="1"/>
  <c r="D173" i="9"/>
  <c r="C173" i="9"/>
  <c r="J172" i="9"/>
  <c r="F172" i="9"/>
  <c r="E172" i="9"/>
  <c r="L172" i="9" s="1"/>
  <c r="D172" i="9"/>
  <c r="C172" i="9"/>
  <c r="J171" i="9"/>
  <c r="F171" i="9"/>
  <c r="I171" i="9" s="1"/>
  <c r="E171" i="9"/>
  <c r="L171" i="9" s="1"/>
  <c r="D171" i="9"/>
  <c r="C171" i="9"/>
  <c r="J170" i="9"/>
  <c r="F170" i="9"/>
  <c r="I170" i="9" s="1"/>
  <c r="E170" i="9"/>
  <c r="L170" i="9" s="1"/>
  <c r="D170" i="9"/>
  <c r="C170" i="9"/>
  <c r="J169" i="9"/>
  <c r="F169" i="9"/>
  <c r="E169" i="9"/>
  <c r="L169" i="9" s="1"/>
  <c r="D169" i="9"/>
  <c r="C169" i="9"/>
  <c r="J168" i="9"/>
  <c r="F168" i="9"/>
  <c r="E168" i="9"/>
  <c r="L168" i="9" s="1"/>
  <c r="D168" i="9"/>
  <c r="C168" i="9"/>
  <c r="J167" i="9"/>
  <c r="F167" i="9"/>
  <c r="I167" i="9" s="1"/>
  <c r="E167" i="9"/>
  <c r="L167" i="9" s="1"/>
  <c r="D167" i="9"/>
  <c r="C167" i="9"/>
  <c r="J166" i="9"/>
  <c r="F166" i="9"/>
  <c r="M166" i="9" s="1"/>
  <c r="E166" i="9"/>
  <c r="L166" i="9" s="1"/>
  <c r="D166" i="9"/>
  <c r="C166" i="9"/>
  <c r="J165" i="9"/>
  <c r="F165" i="9"/>
  <c r="M165" i="9" s="1"/>
  <c r="E165" i="9"/>
  <c r="L165" i="9" s="1"/>
  <c r="D165" i="9"/>
  <c r="C165" i="9"/>
  <c r="J164" i="9"/>
  <c r="F164" i="9"/>
  <c r="E164" i="9"/>
  <c r="L164" i="9" s="1"/>
  <c r="D164" i="9"/>
  <c r="C164" i="9"/>
  <c r="J163" i="9"/>
  <c r="F163" i="9"/>
  <c r="I163" i="9" s="1"/>
  <c r="E163" i="9"/>
  <c r="L163" i="9" s="1"/>
  <c r="D163" i="9"/>
  <c r="C163" i="9"/>
  <c r="J162" i="9"/>
  <c r="F162" i="9"/>
  <c r="I162" i="9" s="1"/>
  <c r="E162" i="9"/>
  <c r="L162" i="9" s="1"/>
  <c r="D162" i="9"/>
  <c r="C162" i="9"/>
  <c r="J161" i="9"/>
  <c r="F161" i="9"/>
  <c r="E161" i="9"/>
  <c r="L161" i="9" s="1"/>
  <c r="D161" i="9"/>
  <c r="C161" i="9"/>
  <c r="J160" i="9"/>
  <c r="F160" i="9"/>
  <c r="E160" i="9"/>
  <c r="L160" i="9" s="1"/>
  <c r="D160" i="9"/>
  <c r="C160" i="9"/>
  <c r="J159" i="9"/>
  <c r="F159" i="9"/>
  <c r="I159" i="9" s="1"/>
  <c r="E159" i="9"/>
  <c r="L159" i="9" s="1"/>
  <c r="D159" i="9"/>
  <c r="C159" i="9"/>
  <c r="J158" i="9"/>
  <c r="F158" i="9"/>
  <c r="M158" i="9" s="1"/>
  <c r="E158" i="9"/>
  <c r="L158" i="9" s="1"/>
  <c r="D158" i="9"/>
  <c r="C158" i="9"/>
  <c r="J157" i="9"/>
  <c r="F157" i="9"/>
  <c r="M157" i="9" s="1"/>
  <c r="E157" i="9"/>
  <c r="L157" i="9" s="1"/>
  <c r="D157" i="9"/>
  <c r="C157" i="9"/>
  <c r="J156" i="9"/>
  <c r="F156" i="9"/>
  <c r="E156" i="9"/>
  <c r="L156" i="9" s="1"/>
  <c r="D156" i="9"/>
  <c r="C156" i="9"/>
  <c r="J155" i="9"/>
  <c r="F155" i="9"/>
  <c r="I155" i="9" s="1"/>
  <c r="E155" i="9"/>
  <c r="L155" i="9" s="1"/>
  <c r="D155" i="9"/>
  <c r="C155" i="9"/>
  <c r="J154" i="9"/>
  <c r="F154" i="9"/>
  <c r="I154" i="9" s="1"/>
  <c r="E154" i="9"/>
  <c r="L154" i="9" s="1"/>
  <c r="D154" i="9"/>
  <c r="C154" i="9"/>
  <c r="J153" i="9"/>
  <c r="F153" i="9"/>
  <c r="E153" i="9"/>
  <c r="L153" i="9" s="1"/>
  <c r="D153" i="9"/>
  <c r="C153" i="9"/>
  <c r="J152" i="9"/>
  <c r="F152" i="9"/>
  <c r="E152" i="9"/>
  <c r="L152" i="9" s="1"/>
  <c r="D152" i="9"/>
  <c r="C152" i="9"/>
  <c r="J151" i="9"/>
  <c r="F151" i="9"/>
  <c r="I151" i="9" s="1"/>
  <c r="E151" i="9"/>
  <c r="L151" i="9" s="1"/>
  <c r="D151" i="9"/>
  <c r="C151" i="9"/>
  <c r="J150" i="9"/>
  <c r="F150" i="9"/>
  <c r="M150" i="9" s="1"/>
  <c r="E150" i="9"/>
  <c r="L150" i="9" s="1"/>
  <c r="D150" i="9"/>
  <c r="C150" i="9"/>
  <c r="J149" i="9"/>
  <c r="F149" i="9"/>
  <c r="M149" i="9" s="1"/>
  <c r="E149" i="9"/>
  <c r="L149" i="9" s="1"/>
  <c r="D149" i="9"/>
  <c r="C149" i="9"/>
  <c r="J148" i="9"/>
  <c r="F148" i="9"/>
  <c r="E148" i="9"/>
  <c r="L148" i="9" s="1"/>
  <c r="D148" i="9"/>
  <c r="C148" i="9"/>
  <c r="J147" i="9"/>
  <c r="F147" i="9"/>
  <c r="I147" i="9" s="1"/>
  <c r="E147" i="9"/>
  <c r="L147" i="9" s="1"/>
  <c r="D147" i="9"/>
  <c r="C147" i="9"/>
  <c r="J146" i="9"/>
  <c r="F146" i="9"/>
  <c r="I146" i="9" s="1"/>
  <c r="E146" i="9"/>
  <c r="L146" i="9" s="1"/>
  <c r="D146" i="9"/>
  <c r="C146" i="9"/>
  <c r="J145" i="9"/>
  <c r="F145" i="9"/>
  <c r="E145" i="9"/>
  <c r="L145" i="9" s="1"/>
  <c r="D145" i="9"/>
  <c r="C145" i="9"/>
  <c r="J144" i="9"/>
  <c r="F144" i="9"/>
  <c r="E144" i="9"/>
  <c r="L144" i="9" s="1"/>
  <c r="D144" i="9"/>
  <c r="C144" i="9"/>
  <c r="J143" i="9"/>
  <c r="F143" i="9"/>
  <c r="I143" i="9" s="1"/>
  <c r="E143" i="9"/>
  <c r="L143" i="9" s="1"/>
  <c r="D143" i="9"/>
  <c r="C143" i="9"/>
  <c r="J142" i="9"/>
  <c r="F142" i="9"/>
  <c r="M142" i="9" s="1"/>
  <c r="E142" i="9"/>
  <c r="L142" i="9" s="1"/>
  <c r="D142" i="9"/>
  <c r="C142" i="9"/>
  <c r="J141" i="9"/>
  <c r="F141" i="9"/>
  <c r="M141" i="9" s="1"/>
  <c r="E141" i="9"/>
  <c r="L141" i="9" s="1"/>
  <c r="D141" i="9"/>
  <c r="C141" i="9"/>
  <c r="J140" i="9"/>
  <c r="F140" i="9"/>
  <c r="E140" i="9"/>
  <c r="L140" i="9" s="1"/>
  <c r="D140" i="9"/>
  <c r="C140" i="9"/>
  <c r="J139" i="9"/>
  <c r="F139" i="9"/>
  <c r="I139" i="9" s="1"/>
  <c r="E139" i="9"/>
  <c r="L139" i="9" s="1"/>
  <c r="D139" i="9"/>
  <c r="C139" i="9"/>
  <c r="J138" i="9"/>
  <c r="F138" i="9"/>
  <c r="I138" i="9" s="1"/>
  <c r="E138" i="9"/>
  <c r="L138" i="9" s="1"/>
  <c r="D138" i="9"/>
  <c r="C138" i="9"/>
  <c r="J137" i="9"/>
  <c r="F137" i="9"/>
  <c r="E137" i="9"/>
  <c r="L137" i="9" s="1"/>
  <c r="D137" i="9"/>
  <c r="C137" i="9"/>
  <c r="J136" i="9"/>
  <c r="F136" i="9"/>
  <c r="E136" i="9"/>
  <c r="L136" i="9" s="1"/>
  <c r="D136" i="9"/>
  <c r="C136" i="9"/>
  <c r="J135" i="9"/>
  <c r="F135" i="9"/>
  <c r="I135" i="9" s="1"/>
  <c r="E135" i="9"/>
  <c r="L135" i="9" s="1"/>
  <c r="D135" i="9"/>
  <c r="C135" i="9"/>
  <c r="J134" i="9"/>
  <c r="F134" i="9"/>
  <c r="M134" i="9" s="1"/>
  <c r="E134" i="9"/>
  <c r="L134" i="9" s="1"/>
  <c r="D134" i="9"/>
  <c r="C134" i="9"/>
  <c r="J133" i="9"/>
  <c r="F133" i="9"/>
  <c r="M133" i="9" s="1"/>
  <c r="E133" i="9"/>
  <c r="L133" i="9" s="1"/>
  <c r="D133" i="9"/>
  <c r="C133" i="9"/>
  <c r="J132" i="9"/>
  <c r="F132" i="9"/>
  <c r="E132" i="9"/>
  <c r="L132" i="9" s="1"/>
  <c r="D132" i="9"/>
  <c r="C132" i="9"/>
  <c r="J131" i="9"/>
  <c r="F131" i="9"/>
  <c r="I131" i="9" s="1"/>
  <c r="E131" i="9"/>
  <c r="L131" i="9" s="1"/>
  <c r="D131" i="9"/>
  <c r="C131" i="9"/>
  <c r="J130" i="9"/>
  <c r="F130" i="9"/>
  <c r="I130" i="9" s="1"/>
  <c r="E130" i="9"/>
  <c r="L130" i="9" s="1"/>
  <c r="D130" i="9"/>
  <c r="C130" i="9"/>
  <c r="J129" i="9"/>
  <c r="F129" i="9"/>
  <c r="E129" i="9"/>
  <c r="L129" i="9" s="1"/>
  <c r="D129" i="9"/>
  <c r="C129" i="9"/>
  <c r="J128" i="9"/>
  <c r="F128" i="9"/>
  <c r="E128" i="9"/>
  <c r="L128" i="9" s="1"/>
  <c r="D128" i="9"/>
  <c r="C128" i="9"/>
  <c r="J127" i="9"/>
  <c r="F127" i="9"/>
  <c r="I127" i="9" s="1"/>
  <c r="E127" i="9"/>
  <c r="L127" i="9" s="1"/>
  <c r="D127" i="9"/>
  <c r="C127" i="9"/>
  <c r="J126" i="9"/>
  <c r="F126" i="9"/>
  <c r="M126" i="9" s="1"/>
  <c r="E126" i="9"/>
  <c r="L126" i="9" s="1"/>
  <c r="D126" i="9"/>
  <c r="C126" i="9"/>
  <c r="J125" i="9"/>
  <c r="F125" i="9"/>
  <c r="M125" i="9" s="1"/>
  <c r="E125" i="9"/>
  <c r="L125" i="9" s="1"/>
  <c r="D125" i="9"/>
  <c r="C125" i="9"/>
  <c r="J124" i="9"/>
  <c r="F124" i="9"/>
  <c r="E124" i="9"/>
  <c r="L124" i="9" s="1"/>
  <c r="D124" i="9"/>
  <c r="C124" i="9"/>
  <c r="J123" i="9"/>
  <c r="F123" i="9"/>
  <c r="I123" i="9" s="1"/>
  <c r="E123" i="9"/>
  <c r="L123" i="9" s="1"/>
  <c r="D123" i="9"/>
  <c r="C123" i="9"/>
  <c r="J122" i="9"/>
  <c r="F122" i="9"/>
  <c r="I122" i="9" s="1"/>
  <c r="E122" i="9"/>
  <c r="L122" i="9" s="1"/>
  <c r="D122" i="9"/>
  <c r="C122" i="9"/>
  <c r="J121" i="9"/>
  <c r="F121" i="9"/>
  <c r="E121" i="9"/>
  <c r="L121" i="9" s="1"/>
  <c r="D121" i="9"/>
  <c r="C121" i="9"/>
  <c r="J120" i="9"/>
  <c r="F120" i="9"/>
  <c r="E120" i="9"/>
  <c r="L120" i="9" s="1"/>
  <c r="D120" i="9"/>
  <c r="C120" i="9"/>
  <c r="J119" i="9"/>
  <c r="F119" i="9"/>
  <c r="I119" i="9" s="1"/>
  <c r="E119" i="9"/>
  <c r="L119" i="9" s="1"/>
  <c r="D119" i="9"/>
  <c r="C119" i="9"/>
  <c r="J118" i="9"/>
  <c r="F118" i="9"/>
  <c r="M118" i="9" s="1"/>
  <c r="E118" i="9"/>
  <c r="L118" i="9" s="1"/>
  <c r="D118" i="9"/>
  <c r="C118" i="9"/>
  <c r="J117" i="9"/>
  <c r="F117" i="9"/>
  <c r="M117" i="9" s="1"/>
  <c r="E117" i="9"/>
  <c r="L117" i="9" s="1"/>
  <c r="D117" i="9"/>
  <c r="C117" i="9"/>
  <c r="J116" i="9"/>
  <c r="F116" i="9"/>
  <c r="E116" i="9"/>
  <c r="L116" i="9" s="1"/>
  <c r="D116" i="9"/>
  <c r="C116" i="9"/>
  <c r="J115" i="9"/>
  <c r="F115" i="9"/>
  <c r="I115" i="9" s="1"/>
  <c r="E115" i="9"/>
  <c r="L115" i="9" s="1"/>
  <c r="D115" i="9"/>
  <c r="C115" i="9"/>
  <c r="J114" i="9"/>
  <c r="F114" i="9"/>
  <c r="I114" i="9" s="1"/>
  <c r="E114" i="9"/>
  <c r="L114" i="9" s="1"/>
  <c r="D114" i="9"/>
  <c r="C114" i="9"/>
  <c r="J113" i="9"/>
  <c r="F113" i="9"/>
  <c r="E113" i="9"/>
  <c r="L113" i="9" s="1"/>
  <c r="D113" i="9"/>
  <c r="C113" i="9"/>
  <c r="J112" i="9"/>
  <c r="F112" i="9"/>
  <c r="E112" i="9"/>
  <c r="L112" i="9" s="1"/>
  <c r="D112" i="9"/>
  <c r="C112" i="9"/>
  <c r="J111" i="9"/>
  <c r="F111" i="9"/>
  <c r="I111" i="9" s="1"/>
  <c r="E111" i="9"/>
  <c r="L111" i="9" s="1"/>
  <c r="D111" i="9"/>
  <c r="C111" i="9"/>
  <c r="J110" i="9"/>
  <c r="F110" i="9"/>
  <c r="M110" i="9" s="1"/>
  <c r="E110" i="9"/>
  <c r="L110" i="9" s="1"/>
  <c r="D110" i="9"/>
  <c r="C110" i="9"/>
  <c r="J109" i="9"/>
  <c r="F109" i="9"/>
  <c r="M109" i="9" s="1"/>
  <c r="E109" i="9"/>
  <c r="L109" i="9" s="1"/>
  <c r="D109" i="9"/>
  <c r="C109" i="9"/>
  <c r="J108" i="9"/>
  <c r="F108" i="9"/>
  <c r="E108" i="9"/>
  <c r="L108" i="9" s="1"/>
  <c r="D108" i="9"/>
  <c r="C108" i="9"/>
  <c r="J107" i="9"/>
  <c r="F107" i="9"/>
  <c r="I107" i="9" s="1"/>
  <c r="E107" i="9"/>
  <c r="L107" i="9" s="1"/>
  <c r="D107" i="9"/>
  <c r="C107" i="9"/>
  <c r="J106" i="9"/>
  <c r="F106" i="9"/>
  <c r="I106" i="9" s="1"/>
  <c r="E106" i="9"/>
  <c r="L106" i="9" s="1"/>
  <c r="D106" i="9"/>
  <c r="C106" i="9"/>
  <c r="J105" i="9"/>
  <c r="F105" i="9"/>
  <c r="E105" i="9"/>
  <c r="L105" i="9" s="1"/>
  <c r="D105" i="9"/>
  <c r="C105" i="9"/>
  <c r="J104" i="9"/>
  <c r="F104" i="9"/>
  <c r="E104" i="9"/>
  <c r="L104" i="9" s="1"/>
  <c r="D104" i="9"/>
  <c r="C104" i="9"/>
  <c r="J103" i="9"/>
  <c r="F103" i="9"/>
  <c r="I103" i="9" s="1"/>
  <c r="E103" i="9"/>
  <c r="L103" i="9" s="1"/>
  <c r="D103" i="9"/>
  <c r="C103" i="9"/>
  <c r="J102" i="9"/>
  <c r="F102" i="9"/>
  <c r="E102" i="9"/>
  <c r="L102" i="9" s="1"/>
  <c r="D102" i="9"/>
  <c r="C102" i="9"/>
  <c r="J101" i="9"/>
  <c r="F101" i="9"/>
  <c r="M101" i="9" s="1"/>
  <c r="E101" i="9"/>
  <c r="L101" i="9" s="1"/>
  <c r="D101" i="9"/>
  <c r="C101" i="9"/>
  <c r="J100" i="9"/>
  <c r="F100" i="9"/>
  <c r="M100" i="9" s="1"/>
  <c r="E100" i="9"/>
  <c r="L100" i="9" s="1"/>
  <c r="D100" i="9"/>
  <c r="C100" i="9"/>
  <c r="J99" i="9"/>
  <c r="F99" i="9"/>
  <c r="I99" i="9" s="1"/>
  <c r="E99" i="9"/>
  <c r="L99" i="9" s="1"/>
  <c r="D99" i="9"/>
  <c r="C99" i="9"/>
  <c r="J98" i="9"/>
  <c r="F98" i="9"/>
  <c r="I98" i="9" s="1"/>
  <c r="E98" i="9"/>
  <c r="L98" i="9" s="1"/>
  <c r="D98" i="9"/>
  <c r="C98" i="9"/>
  <c r="J97" i="9"/>
  <c r="F97" i="9"/>
  <c r="E97" i="9"/>
  <c r="L97" i="9" s="1"/>
  <c r="D97" i="9"/>
  <c r="C97" i="9"/>
  <c r="J96" i="9"/>
  <c r="F96" i="9"/>
  <c r="E96" i="9"/>
  <c r="L96" i="9" s="1"/>
  <c r="D96" i="9"/>
  <c r="C96" i="9"/>
  <c r="J95" i="9"/>
  <c r="F95" i="9"/>
  <c r="I95" i="9" s="1"/>
  <c r="E95" i="9"/>
  <c r="L95" i="9" s="1"/>
  <c r="D95" i="9"/>
  <c r="C95" i="9"/>
  <c r="J94" i="9"/>
  <c r="F94" i="9"/>
  <c r="E94" i="9"/>
  <c r="L94" i="9" s="1"/>
  <c r="D94" i="9"/>
  <c r="C94" i="9"/>
  <c r="J93" i="9"/>
  <c r="F93" i="9"/>
  <c r="M93" i="9" s="1"/>
  <c r="E93" i="9"/>
  <c r="L93" i="9" s="1"/>
  <c r="D93" i="9"/>
  <c r="C93" i="9"/>
  <c r="J92" i="9"/>
  <c r="F92" i="9"/>
  <c r="E92" i="9"/>
  <c r="L92" i="9" s="1"/>
  <c r="D92" i="9"/>
  <c r="C92" i="9"/>
  <c r="J91" i="9"/>
  <c r="F91" i="9"/>
  <c r="I91" i="9" s="1"/>
  <c r="E91" i="9"/>
  <c r="L91" i="9" s="1"/>
  <c r="D91" i="9"/>
  <c r="C91" i="9"/>
  <c r="J90" i="9"/>
  <c r="F90" i="9"/>
  <c r="I90" i="9" s="1"/>
  <c r="E90" i="9"/>
  <c r="L90" i="9" s="1"/>
  <c r="D90" i="9"/>
  <c r="C90" i="9"/>
  <c r="J89" i="9"/>
  <c r="F89" i="9"/>
  <c r="E89" i="9"/>
  <c r="L89" i="9" s="1"/>
  <c r="D89" i="9"/>
  <c r="C89" i="9"/>
  <c r="J88" i="9"/>
  <c r="F88" i="9"/>
  <c r="E88" i="9"/>
  <c r="L88" i="9" s="1"/>
  <c r="D88" i="9"/>
  <c r="C88" i="9"/>
  <c r="J87" i="9"/>
  <c r="F87" i="9"/>
  <c r="I87" i="9" s="1"/>
  <c r="E87" i="9"/>
  <c r="L87" i="9" s="1"/>
  <c r="D87" i="9"/>
  <c r="C87" i="9"/>
  <c r="J86" i="9"/>
  <c r="F86" i="9"/>
  <c r="E86" i="9"/>
  <c r="L86" i="9" s="1"/>
  <c r="D86" i="9"/>
  <c r="C86" i="9"/>
  <c r="J85" i="9"/>
  <c r="F85" i="9"/>
  <c r="M85" i="9" s="1"/>
  <c r="E85" i="9"/>
  <c r="L85" i="9" s="1"/>
  <c r="D85" i="9"/>
  <c r="C85" i="9"/>
  <c r="J84" i="9"/>
  <c r="F84" i="9"/>
  <c r="E84" i="9"/>
  <c r="L84" i="9" s="1"/>
  <c r="D84" i="9"/>
  <c r="C84" i="9"/>
  <c r="J83" i="9"/>
  <c r="F83" i="9"/>
  <c r="I83" i="9" s="1"/>
  <c r="E83" i="9"/>
  <c r="L83" i="9" s="1"/>
  <c r="D83" i="9"/>
  <c r="C83" i="9"/>
  <c r="J82" i="9"/>
  <c r="F82" i="9"/>
  <c r="I82" i="9" s="1"/>
  <c r="E82" i="9"/>
  <c r="L82" i="9" s="1"/>
  <c r="D82" i="9"/>
  <c r="C82" i="9"/>
  <c r="J81" i="9"/>
  <c r="F81" i="9"/>
  <c r="E81" i="9"/>
  <c r="L81" i="9" s="1"/>
  <c r="D81" i="9"/>
  <c r="C81" i="9"/>
  <c r="J80" i="9"/>
  <c r="F80" i="9"/>
  <c r="E80" i="9"/>
  <c r="L80" i="9" s="1"/>
  <c r="D80" i="9"/>
  <c r="C80" i="9"/>
  <c r="J79" i="9"/>
  <c r="F79" i="9"/>
  <c r="I79" i="9" s="1"/>
  <c r="E79" i="9"/>
  <c r="L79" i="9" s="1"/>
  <c r="D79" i="9"/>
  <c r="C79" i="9"/>
  <c r="F78" i="9"/>
  <c r="E78" i="9"/>
  <c r="L78" i="9" s="1"/>
  <c r="D78" i="9"/>
  <c r="C78" i="9"/>
  <c r="F77" i="9"/>
  <c r="M77" i="9" s="1"/>
  <c r="E77" i="9"/>
  <c r="L77" i="9" s="1"/>
  <c r="D77" i="9"/>
  <c r="C77" i="9"/>
  <c r="J76" i="9"/>
  <c r="F76" i="9"/>
  <c r="E76" i="9"/>
  <c r="L76" i="9" s="1"/>
  <c r="D76" i="9"/>
  <c r="C76" i="9"/>
  <c r="J75" i="9"/>
  <c r="F75" i="9"/>
  <c r="I75" i="9" s="1"/>
  <c r="E75" i="9"/>
  <c r="L75" i="9" s="1"/>
  <c r="D75" i="9"/>
  <c r="C75" i="9"/>
  <c r="F74" i="9"/>
  <c r="I74" i="9" s="1"/>
  <c r="E74" i="9"/>
  <c r="L74" i="9" s="1"/>
  <c r="D74" i="9"/>
  <c r="C74" i="9"/>
  <c r="F73" i="9"/>
  <c r="E73" i="9"/>
  <c r="L73" i="9" s="1"/>
  <c r="D73" i="9"/>
  <c r="C73" i="9"/>
  <c r="F72" i="9"/>
  <c r="E72" i="9"/>
  <c r="L72" i="9" s="1"/>
  <c r="D72" i="9"/>
  <c r="C72" i="9"/>
  <c r="J71" i="9"/>
  <c r="F71" i="9"/>
  <c r="I71" i="9" s="1"/>
  <c r="E71" i="9"/>
  <c r="L71" i="9" s="1"/>
  <c r="D71" i="9"/>
  <c r="C71" i="9"/>
  <c r="J70" i="9"/>
  <c r="F70" i="9"/>
  <c r="E70" i="9"/>
  <c r="L70" i="9" s="1"/>
  <c r="D70" i="9"/>
  <c r="C70" i="9"/>
  <c r="J69" i="9"/>
  <c r="F69" i="9"/>
  <c r="M69" i="9" s="1"/>
  <c r="E69" i="9"/>
  <c r="L69" i="9" s="1"/>
  <c r="D69" i="9"/>
  <c r="C69" i="9"/>
  <c r="J68" i="9"/>
  <c r="F68" i="9"/>
  <c r="E68" i="9"/>
  <c r="L68" i="9" s="1"/>
  <c r="D68" i="9"/>
  <c r="C68" i="9"/>
  <c r="F67" i="9"/>
  <c r="I67" i="9" s="1"/>
  <c r="E67" i="9"/>
  <c r="L67" i="9" s="1"/>
  <c r="D67" i="9"/>
  <c r="C67" i="9"/>
  <c r="J66" i="9"/>
  <c r="F66" i="9"/>
  <c r="I66" i="9" s="1"/>
  <c r="E66" i="9"/>
  <c r="L66" i="9" s="1"/>
  <c r="D66" i="9"/>
  <c r="C66" i="9"/>
  <c r="J65" i="9"/>
  <c r="F65" i="9"/>
  <c r="E65" i="9"/>
  <c r="L65" i="9" s="1"/>
  <c r="D65" i="9"/>
  <c r="C65" i="9"/>
  <c r="F64" i="9"/>
  <c r="E64" i="9"/>
  <c r="L64" i="9" s="1"/>
  <c r="D64" i="9"/>
  <c r="C64" i="9"/>
  <c r="F63" i="9"/>
  <c r="I63" i="9" s="1"/>
  <c r="E63" i="9"/>
  <c r="L63" i="9" s="1"/>
  <c r="D63" i="9"/>
  <c r="C63" i="9"/>
  <c r="J62" i="9"/>
  <c r="F62" i="9"/>
  <c r="E62" i="9"/>
  <c r="L62" i="9" s="1"/>
  <c r="D62" i="9"/>
  <c r="C62" i="9"/>
  <c r="F61" i="9"/>
  <c r="M61" i="9" s="1"/>
  <c r="E61" i="9"/>
  <c r="L61" i="9" s="1"/>
  <c r="D61" i="9"/>
  <c r="C61" i="9"/>
  <c r="J60" i="9"/>
  <c r="F60" i="9"/>
  <c r="E60" i="9"/>
  <c r="L60" i="9" s="1"/>
  <c r="D60" i="9"/>
  <c r="C60" i="9"/>
  <c r="F59" i="9"/>
  <c r="I59" i="9" s="1"/>
  <c r="E59" i="9"/>
  <c r="L59" i="9" s="1"/>
  <c r="D59" i="9"/>
  <c r="C59" i="9"/>
  <c r="J58" i="9"/>
  <c r="F58" i="9"/>
  <c r="I58" i="9" s="1"/>
  <c r="E58" i="9"/>
  <c r="L58" i="9" s="1"/>
  <c r="D58" i="9"/>
  <c r="C58" i="9"/>
  <c r="J57" i="9"/>
  <c r="F57" i="9"/>
  <c r="E57" i="9"/>
  <c r="L57" i="9" s="1"/>
  <c r="D57" i="9"/>
  <c r="C57" i="9"/>
  <c r="J56" i="9"/>
  <c r="F56" i="9"/>
  <c r="E56" i="9"/>
  <c r="L56" i="9" s="1"/>
  <c r="D56" i="9"/>
  <c r="C56" i="9"/>
  <c r="J55" i="9"/>
  <c r="F55" i="9"/>
  <c r="I55" i="9" s="1"/>
  <c r="E55" i="9"/>
  <c r="L55" i="9" s="1"/>
  <c r="D55" i="9"/>
  <c r="C55" i="9"/>
  <c r="F54" i="9"/>
  <c r="E54" i="9"/>
  <c r="L54" i="9" s="1"/>
  <c r="D54" i="9"/>
  <c r="C54" i="9"/>
  <c r="F53" i="9"/>
  <c r="M53" i="9" s="1"/>
  <c r="E53" i="9"/>
  <c r="L53" i="9" s="1"/>
  <c r="D53" i="9"/>
  <c r="C53" i="9"/>
  <c r="J52" i="9"/>
  <c r="F52" i="9"/>
  <c r="E52" i="9"/>
  <c r="L52" i="9" s="1"/>
  <c r="D52" i="9"/>
  <c r="C52" i="9"/>
  <c r="F51" i="9"/>
  <c r="I51" i="9" s="1"/>
  <c r="E51" i="9"/>
  <c r="L51" i="9" s="1"/>
  <c r="D51" i="9"/>
  <c r="C51" i="9"/>
  <c r="F50" i="9"/>
  <c r="I50" i="9" s="1"/>
  <c r="E50" i="9"/>
  <c r="L50" i="9" s="1"/>
  <c r="D50" i="9"/>
  <c r="C50" i="9"/>
  <c r="J49" i="9"/>
  <c r="F49" i="9"/>
  <c r="E49" i="9"/>
  <c r="L49" i="9" s="1"/>
  <c r="D49" i="9"/>
  <c r="C49" i="9"/>
  <c r="J48" i="9"/>
  <c r="F48" i="9"/>
  <c r="E48" i="9"/>
  <c r="L48" i="9" s="1"/>
  <c r="D48" i="9"/>
  <c r="C48" i="9"/>
  <c r="J47" i="9"/>
  <c r="F47" i="9"/>
  <c r="I47" i="9" s="1"/>
  <c r="E47" i="9"/>
  <c r="L47" i="9" s="1"/>
  <c r="D47" i="9"/>
  <c r="C47" i="9"/>
  <c r="J46" i="9"/>
  <c r="F46" i="9"/>
  <c r="E46" i="9"/>
  <c r="L46" i="9" s="1"/>
  <c r="D46" i="9"/>
  <c r="C46" i="9"/>
  <c r="J45" i="9"/>
  <c r="F45" i="9"/>
  <c r="M45" i="9" s="1"/>
  <c r="E45" i="9"/>
  <c r="L45" i="9" s="1"/>
  <c r="D45" i="9"/>
  <c r="C45" i="9"/>
  <c r="J44" i="9"/>
  <c r="F44" i="9"/>
  <c r="E44" i="9"/>
  <c r="L44" i="9" s="1"/>
  <c r="D44" i="9"/>
  <c r="C44" i="9"/>
  <c r="J43" i="9"/>
  <c r="F43" i="9"/>
  <c r="I43" i="9" s="1"/>
  <c r="E43" i="9"/>
  <c r="L43" i="9" s="1"/>
  <c r="D43" i="9"/>
  <c r="C43" i="9"/>
  <c r="F42" i="9"/>
  <c r="I42" i="9" s="1"/>
  <c r="E42" i="9"/>
  <c r="L42" i="9" s="1"/>
  <c r="D42" i="9"/>
  <c r="C42" i="9"/>
  <c r="J41" i="9"/>
  <c r="F41" i="9"/>
  <c r="E41" i="9"/>
  <c r="L41" i="9" s="1"/>
  <c r="D41" i="9"/>
  <c r="C41" i="9"/>
  <c r="F40" i="9"/>
  <c r="E40" i="9"/>
  <c r="L40" i="9" s="1"/>
  <c r="D40" i="9"/>
  <c r="C40" i="9"/>
  <c r="J39" i="9"/>
  <c r="F39" i="9"/>
  <c r="I39" i="9" s="1"/>
  <c r="E39" i="9"/>
  <c r="L39" i="9" s="1"/>
  <c r="D39" i="9"/>
  <c r="C39" i="9"/>
  <c r="F38" i="9"/>
  <c r="E38" i="9"/>
  <c r="L38" i="9" s="1"/>
  <c r="D38" i="9"/>
  <c r="C38" i="9"/>
  <c r="F37" i="9"/>
  <c r="M37" i="9" s="1"/>
  <c r="E37" i="9"/>
  <c r="L37" i="9" s="1"/>
  <c r="D37" i="9"/>
  <c r="C37" i="9"/>
  <c r="F36" i="9"/>
  <c r="M36" i="9" s="1"/>
  <c r="E36" i="9"/>
  <c r="L36" i="9" s="1"/>
  <c r="D36" i="9"/>
  <c r="C36" i="9"/>
  <c r="F35" i="9"/>
  <c r="I35" i="9" s="1"/>
  <c r="E35" i="9"/>
  <c r="L35" i="9" s="1"/>
  <c r="D35" i="9"/>
  <c r="C35" i="9"/>
  <c r="J34" i="9"/>
  <c r="F34" i="9"/>
  <c r="I34" i="9" s="1"/>
  <c r="E34" i="9"/>
  <c r="L34" i="9" s="1"/>
  <c r="D34" i="9"/>
  <c r="C34" i="9"/>
  <c r="J33" i="9"/>
  <c r="F33" i="9"/>
  <c r="E33" i="9"/>
  <c r="L33" i="9" s="1"/>
  <c r="D33" i="9"/>
  <c r="C33" i="9"/>
  <c r="J32" i="9"/>
  <c r="F32" i="9"/>
  <c r="E32" i="9"/>
  <c r="L32" i="9" s="1"/>
  <c r="D32" i="9"/>
  <c r="C32" i="9"/>
  <c r="J31" i="9"/>
  <c r="F31" i="9"/>
  <c r="I31" i="9" s="1"/>
  <c r="E31" i="9"/>
  <c r="L31" i="9" s="1"/>
  <c r="D31" i="9"/>
  <c r="C31" i="9"/>
  <c r="J30" i="9"/>
  <c r="F30" i="9"/>
  <c r="E30" i="9"/>
  <c r="L30" i="9" s="1"/>
  <c r="D30" i="9"/>
  <c r="C30" i="9"/>
  <c r="J29" i="9"/>
  <c r="F29" i="9"/>
  <c r="M29" i="9" s="1"/>
  <c r="E29" i="9"/>
  <c r="L29" i="9" s="1"/>
  <c r="D29" i="9"/>
  <c r="C29" i="9"/>
  <c r="F28" i="9"/>
  <c r="E28" i="9"/>
  <c r="L28" i="9" s="1"/>
  <c r="D28" i="9"/>
  <c r="C28" i="9"/>
  <c r="F27" i="9"/>
  <c r="I27" i="9" s="1"/>
  <c r="E27" i="9"/>
  <c r="L27" i="9" s="1"/>
  <c r="D27" i="9"/>
  <c r="C27" i="9"/>
  <c r="J26" i="9"/>
  <c r="F26" i="9"/>
  <c r="I26" i="9" s="1"/>
  <c r="E26" i="9"/>
  <c r="L26" i="9" s="1"/>
  <c r="D26" i="9"/>
  <c r="C26" i="9"/>
  <c r="F25" i="9"/>
  <c r="E25" i="9"/>
  <c r="L25" i="9" s="1"/>
  <c r="D25" i="9"/>
  <c r="C25" i="9"/>
  <c r="F24" i="9"/>
  <c r="E24" i="9"/>
  <c r="L24" i="9" s="1"/>
  <c r="D24" i="9"/>
  <c r="C24" i="9"/>
  <c r="J23" i="9"/>
  <c r="F23" i="9"/>
  <c r="I23" i="9" s="1"/>
  <c r="E23" i="9"/>
  <c r="L23" i="9" s="1"/>
  <c r="D23" i="9"/>
  <c r="C23" i="9"/>
  <c r="J22" i="9"/>
  <c r="F22" i="9"/>
  <c r="E22" i="9"/>
  <c r="L22" i="9" s="1"/>
  <c r="D22" i="9"/>
  <c r="C22" i="9"/>
  <c r="J21" i="9"/>
  <c r="F21" i="9"/>
  <c r="M21" i="9" s="1"/>
  <c r="E21" i="9"/>
  <c r="L21" i="9" s="1"/>
  <c r="D21" i="9"/>
  <c r="C21" i="9"/>
  <c r="J20" i="9"/>
  <c r="F20" i="9"/>
  <c r="E20" i="9"/>
  <c r="L20" i="9" s="1"/>
  <c r="D20" i="9"/>
  <c r="C20" i="9"/>
  <c r="J19" i="9"/>
  <c r="F19" i="9"/>
  <c r="I19" i="9" s="1"/>
  <c r="E19" i="9"/>
  <c r="L19" i="9" s="1"/>
  <c r="D19" i="9"/>
  <c r="C19" i="9"/>
  <c r="F18" i="9"/>
  <c r="I18" i="9" s="1"/>
  <c r="E18" i="9"/>
  <c r="L18" i="9" s="1"/>
  <c r="D18" i="9"/>
  <c r="C18" i="9"/>
  <c r="J17" i="9"/>
  <c r="F17" i="9"/>
  <c r="E17" i="9"/>
  <c r="L17" i="9" s="1"/>
  <c r="D17" i="9"/>
  <c r="C17" i="9"/>
  <c r="J16" i="9"/>
  <c r="F16" i="9"/>
  <c r="E16" i="9"/>
  <c r="L16" i="9" s="1"/>
  <c r="D16" i="9"/>
  <c r="C16" i="9"/>
  <c r="J15" i="9"/>
  <c r="F15" i="9"/>
  <c r="I15" i="9" s="1"/>
  <c r="E15" i="9"/>
  <c r="L15" i="9" s="1"/>
  <c r="D15" i="9"/>
  <c r="C15" i="9"/>
  <c r="F14" i="9"/>
  <c r="E14" i="9"/>
  <c r="L14" i="9" s="1"/>
  <c r="D14" i="9"/>
  <c r="C14" i="9"/>
  <c r="J13" i="9"/>
  <c r="F13" i="9"/>
  <c r="M13" i="9" s="1"/>
  <c r="E13" i="9"/>
  <c r="L13" i="9" s="1"/>
  <c r="D13" i="9"/>
  <c r="C13" i="9"/>
  <c r="J12" i="9"/>
  <c r="F12" i="9"/>
  <c r="E12" i="9"/>
  <c r="L12" i="9" s="1"/>
  <c r="D12" i="9"/>
  <c r="C12" i="9"/>
  <c r="F11" i="9"/>
  <c r="I11" i="9" s="1"/>
  <c r="E11" i="9"/>
  <c r="L11" i="9" s="1"/>
  <c r="D11" i="9"/>
  <c r="C11" i="9"/>
  <c r="J10" i="9"/>
  <c r="F10" i="9"/>
  <c r="M10" i="9" s="1"/>
  <c r="E10" i="9"/>
  <c r="L10" i="9" s="1"/>
  <c r="D10" i="9"/>
  <c r="C10" i="9"/>
  <c r="F109" i="8"/>
  <c r="E109" i="8"/>
  <c r="B109" i="8"/>
  <c r="F108" i="8"/>
  <c r="E108" i="8"/>
  <c r="B108" i="8"/>
  <c r="F107" i="8"/>
  <c r="E107" i="8"/>
  <c r="B107" i="8"/>
  <c r="F106" i="8"/>
  <c r="E106" i="8"/>
  <c r="B106" i="8"/>
  <c r="F105" i="8"/>
  <c r="E105" i="8"/>
  <c r="B105" i="8"/>
  <c r="F104" i="8"/>
  <c r="E104" i="8"/>
  <c r="B104" i="8"/>
  <c r="F103" i="8"/>
  <c r="E103" i="8"/>
  <c r="B103" i="8"/>
  <c r="F102" i="8"/>
  <c r="E102" i="8"/>
  <c r="B102" i="8"/>
  <c r="F101" i="8"/>
  <c r="E101" i="8"/>
  <c r="B101" i="8"/>
  <c r="F100" i="8"/>
  <c r="E100" i="8"/>
  <c r="B100" i="8"/>
  <c r="F99" i="8"/>
  <c r="E99" i="8"/>
  <c r="B99" i="8"/>
  <c r="F98" i="8"/>
  <c r="E98" i="8"/>
  <c r="B98" i="8"/>
  <c r="F97" i="8"/>
  <c r="E97" i="8"/>
  <c r="B97" i="8"/>
  <c r="F96" i="8"/>
  <c r="E96" i="8"/>
  <c r="B96" i="8"/>
  <c r="F95" i="8"/>
  <c r="E95" i="8"/>
  <c r="B95" i="8"/>
  <c r="F94" i="8"/>
  <c r="E94" i="8"/>
  <c r="B94" i="8"/>
  <c r="F93" i="8"/>
  <c r="E93" i="8"/>
  <c r="B93" i="8"/>
  <c r="F92" i="8"/>
  <c r="E92" i="8"/>
  <c r="B92" i="8"/>
  <c r="F91" i="8"/>
  <c r="E91" i="8"/>
  <c r="B91" i="8"/>
  <c r="F90" i="8"/>
  <c r="E90" i="8"/>
  <c r="B90" i="8"/>
  <c r="F89" i="8"/>
  <c r="E89" i="8"/>
  <c r="B89" i="8"/>
  <c r="F88" i="8"/>
  <c r="E88" i="8"/>
  <c r="B88" i="8"/>
  <c r="F87" i="8"/>
  <c r="E87" i="8"/>
  <c r="B87" i="8"/>
  <c r="F86" i="8"/>
  <c r="E86" i="8"/>
  <c r="B86" i="8"/>
  <c r="F85" i="8"/>
  <c r="E85" i="8"/>
  <c r="B85" i="8"/>
  <c r="F84" i="8"/>
  <c r="E84" i="8"/>
  <c r="B84" i="8"/>
  <c r="F83" i="8"/>
  <c r="E83" i="8"/>
  <c r="B83" i="8"/>
  <c r="F82" i="8"/>
  <c r="E82" i="8"/>
  <c r="B82" i="8"/>
  <c r="F81" i="8"/>
  <c r="E81" i="8"/>
  <c r="B81" i="8"/>
  <c r="F80" i="8"/>
  <c r="E80" i="8"/>
  <c r="B80" i="8"/>
  <c r="F79" i="8"/>
  <c r="E79" i="8"/>
  <c r="B79" i="8"/>
  <c r="F78" i="8"/>
  <c r="E78" i="8"/>
  <c r="B78" i="8"/>
  <c r="F77" i="8"/>
  <c r="E77" i="8"/>
  <c r="B77" i="8"/>
  <c r="F76" i="8"/>
  <c r="E76" i="8"/>
  <c r="B76" i="8"/>
  <c r="F75" i="8"/>
  <c r="E75" i="8"/>
  <c r="B75" i="8"/>
  <c r="F74" i="8"/>
  <c r="E74" i="8"/>
  <c r="B74" i="8"/>
  <c r="F73" i="8"/>
  <c r="E73" i="8"/>
  <c r="B73" i="8"/>
  <c r="F72" i="8"/>
  <c r="E72" i="8"/>
  <c r="B72" i="8"/>
  <c r="F71" i="8"/>
  <c r="E71" i="8"/>
  <c r="B71" i="8"/>
  <c r="F70" i="8"/>
  <c r="E70" i="8"/>
  <c r="B70" i="8"/>
  <c r="F69" i="8"/>
  <c r="E69" i="8"/>
  <c r="B69" i="8"/>
  <c r="F68" i="8"/>
  <c r="E68" i="8"/>
  <c r="B68" i="8"/>
  <c r="F67" i="8"/>
  <c r="E67" i="8"/>
  <c r="B67" i="8"/>
  <c r="F66" i="8"/>
  <c r="E66" i="8"/>
  <c r="B66" i="8"/>
  <c r="F65" i="8"/>
  <c r="E65" i="8"/>
  <c r="B65" i="8"/>
  <c r="F64" i="8"/>
  <c r="E64" i="8"/>
  <c r="B64" i="8"/>
  <c r="F63" i="8"/>
  <c r="E63" i="8"/>
  <c r="B63" i="8"/>
  <c r="F62" i="8"/>
  <c r="E62" i="8"/>
  <c r="B62" i="8"/>
  <c r="F61" i="8"/>
  <c r="E61" i="8"/>
  <c r="B61" i="8"/>
  <c r="F60" i="8"/>
  <c r="E60" i="8"/>
  <c r="B60" i="8"/>
  <c r="F59" i="8"/>
  <c r="E59" i="8"/>
  <c r="B59" i="8"/>
  <c r="F58" i="8"/>
  <c r="E58" i="8"/>
  <c r="B58" i="8"/>
  <c r="F57" i="8"/>
  <c r="E57" i="8"/>
  <c r="B57" i="8"/>
  <c r="F56" i="8"/>
  <c r="E56" i="8"/>
  <c r="B56" i="8"/>
  <c r="F55" i="8"/>
  <c r="E55" i="8"/>
  <c r="B55" i="8"/>
  <c r="F54" i="8"/>
  <c r="E54" i="8"/>
  <c r="B54" i="8"/>
  <c r="F53" i="8"/>
  <c r="E53" i="8"/>
  <c r="B53" i="8"/>
  <c r="F52" i="8"/>
  <c r="E52" i="8"/>
  <c r="B52" i="8"/>
  <c r="F51" i="8"/>
  <c r="E51" i="8"/>
  <c r="B51" i="8"/>
  <c r="F50" i="8"/>
  <c r="E50" i="8"/>
  <c r="B50" i="8"/>
  <c r="F49" i="8"/>
  <c r="E49" i="8"/>
  <c r="B49" i="8"/>
  <c r="F48" i="8"/>
  <c r="E48" i="8"/>
  <c r="B48" i="8"/>
  <c r="F47" i="8"/>
  <c r="E47" i="8"/>
  <c r="B47" i="8"/>
  <c r="F46" i="8"/>
  <c r="E46" i="8"/>
  <c r="B46" i="8"/>
  <c r="F45" i="8"/>
  <c r="E45" i="8"/>
  <c r="B45" i="8"/>
  <c r="F44" i="8"/>
  <c r="E44" i="8"/>
  <c r="B44" i="8"/>
  <c r="F43" i="8"/>
  <c r="E43" i="8"/>
  <c r="B43" i="8"/>
  <c r="F42" i="8"/>
  <c r="E42" i="8"/>
  <c r="B42" i="8"/>
  <c r="F41" i="8"/>
  <c r="E41" i="8"/>
  <c r="B41" i="8"/>
  <c r="F40" i="8"/>
  <c r="E40" i="8"/>
  <c r="B40" i="8"/>
  <c r="F39" i="8"/>
  <c r="E39" i="8"/>
  <c r="B39" i="8"/>
  <c r="F38" i="8"/>
  <c r="E38" i="8"/>
  <c r="B38" i="8"/>
  <c r="F37" i="8"/>
  <c r="E37" i="8"/>
  <c r="B37" i="8"/>
  <c r="F36" i="8"/>
  <c r="E36" i="8"/>
  <c r="B36" i="8"/>
  <c r="F35" i="8"/>
  <c r="E35" i="8"/>
  <c r="B35" i="8"/>
  <c r="F34" i="8"/>
  <c r="E34" i="8"/>
  <c r="B34" i="8"/>
  <c r="F33" i="8"/>
  <c r="E33" i="8"/>
  <c r="B33" i="8"/>
  <c r="F32" i="8"/>
  <c r="E32" i="8"/>
  <c r="B32" i="8"/>
  <c r="F31" i="8"/>
  <c r="E31" i="8"/>
  <c r="B31" i="8"/>
  <c r="F30" i="8"/>
  <c r="E30" i="8"/>
  <c r="B30" i="8"/>
  <c r="F29" i="8"/>
  <c r="E29" i="8"/>
  <c r="B29" i="8"/>
  <c r="F28" i="8"/>
  <c r="E28" i="8"/>
  <c r="B28" i="8"/>
  <c r="E27" i="8"/>
  <c r="F27" i="8" s="1"/>
  <c r="B27" i="8"/>
  <c r="E26" i="8"/>
  <c r="F26" i="8" s="1"/>
  <c r="B26" i="8"/>
  <c r="E25" i="8"/>
  <c r="F25" i="8" s="1"/>
  <c r="B25" i="8"/>
  <c r="E24" i="8"/>
  <c r="F24" i="8" s="1"/>
  <c r="B24" i="8"/>
  <c r="E23" i="8"/>
  <c r="F23" i="8" s="1"/>
  <c r="B23" i="8"/>
  <c r="E22" i="8"/>
  <c r="F22" i="8" s="1"/>
  <c r="B22" i="8"/>
  <c r="E21" i="8"/>
  <c r="F21" i="8" s="1"/>
  <c r="B21" i="8"/>
  <c r="E20" i="8"/>
  <c r="F20" i="8" s="1"/>
  <c r="B20" i="8"/>
  <c r="E19" i="8"/>
  <c r="F19" i="8" s="1"/>
  <c r="B19" i="8"/>
  <c r="E18" i="8"/>
  <c r="F18" i="8" s="1"/>
  <c r="B18" i="8"/>
  <c r="E17" i="8"/>
  <c r="F17" i="8" s="1"/>
  <c r="B17" i="8"/>
  <c r="E16" i="8"/>
  <c r="F16" i="8" s="1"/>
  <c r="B16" i="8"/>
  <c r="E15" i="8"/>
  <c r="F15" i="8" s="1"/>
  <c r="B15" i="8"/>
  <c r="E14" i="8"/>
  <c r="F14" i="8" s="1"/>
  <c r="B14" i="8"/>
  <c r="E13" i="8"/>
  <c r="F13" i="8" s="1"/>
  <c r="B13" i="8"/>
  <c r="E12" i="8"/>
  <c r="F12" i="8" s="1"/>
  <c r="B12" i="8"/>
  <c r="E11" i="8"/>
  <c r="F11" i="8" s="1"/>
  <c r="B11" i="8"/>
  <c r="E10" i="8"/>
  <c r="F10" i="8" s="1"/>
  <c r="B10" i="8"/>
  <c r="J109" i="7"/>
  <c r="I109" i="7"/>
  <c r="B109" i="7"/>
  <c r="J108" i="7"/>
  <c r="I108" i="7"/>
  <c r="B108" i="7"/>
  <c r="J107" i="7"/>
  <c r="I107" i="7"/>
  <c r="B107" i="7"/>
  <c r="J106" i="7"/>
  <c r="I106" i="7"/>
  <c r="B106" i="7"/>
  <c r="J105" i="7"/>
  <c r="I105" i="7"/>
  <c r="B105" i="7"/>
  <c r="J104" i="7"/>
  <c r="I104" i="7"/>
  <c r="B104" i="7"/>
  <c r="J103" i="7"/>
  <c r="I103" i="7"/>
  <c r="B103" i="7"/>
  <c r="J102" i="7"/>
  <c r="I102" i="7"/>
  <c r="B102" i="7"/>
  <c r="J101" i="7"/>
  <c r="I101" i="7"/>
  <c r="B101" i="7"/>
  <c r="J100" i="7"/>
  <c r="I100" i="7"/>
  <c r="B100" i="7"/>
  <c r="J99" i="7"/>
  <c r="I99" i="7"/>
  <c r="B99" i="7"/>
  <c r="J98" i="7"/>
  <c r="I98" i="7"/>
  <c r="B98" i="7"/>
  <c r="J97" i="7"/>
  <c r="I97" i="7"/>
  <c r="B97" i="7"/>
  <c r="J96" i="7"/>
  <c r="I96" i="7"/>
  <c r="B96" i="7"/>
  <c r="J95" i="7"/>
  <c r="I95" i="7"/>
  <c r="B95" i="7"/>
  <c r="J94" i="7"/>
  <c r="I94" i="7"/>
  <c r="B94" i="7"/>
  <c r="J93" i="7"/>
  <c r="I93" i="7"/>
  <c r="B93" i="7"/>
  <c r="J92" i="7"/>
  <c r="I92" i="7"/>
  <c r="B92" i="7"/>
  <c r="J91" i="7"/>
  <c r="I91" i="7"/>
  <c r="B91" i="7"/>
  <c r="J90" i="7"/>
  <c r="I90" i="7"/>
  <c r="B90" i="7"/>
  <c r="J89" i="7"/>
  <c r="I89" i="7"/>
  <c r="B89" i="7"/>
  <c r="J88" i="7"/>
  <c r="I88" i="7"/>
  <c r="B88" i="7"/>
  <c r="J87" i="7"/>
  <c r="I87" i="7"/>
  <c r="B87" i="7"/>
  <c r="J86" i="7"/>
  <c r="I86" i="7"/>
  <c r="B86" i="7"/>
  <c r="J85" i="7"/>
  <c r="I85" i="7"/>
  <c r="B85" i="7"/>
  <c r="J84" i="7"/>
  <c r="I84" i="7"/>
  <c r="B84" i="7"/>
  <c r="J83" i="7"/>
  <c r="I83" i="7"/>
  <c r="B83" i="7"/>
  <c r="J82" i="7"/>
  <c r="I82" i="7"/>
  <c r="B82" i="7"/>
  <c r="J81" i="7"/>
  <c r="I81" i="7"/>
  <c r="B81" i="7"/>
  <c r="J80" i="7"/>
  <c r="I80" i="7"/>
  <c r="B80" i="7"/>
  <c r="J79" i="7"/>
  <c r="I79" i="7"/>
  <c r="B79" i="7"/>
  <c r="J78" i="7"/>
  <c r="I78" i="7"/>
  <c r="B78" i="7"/>
  <c r="J77" i="7"/>
  <c r="I77" i="7"/>
  <c r="B77" i="7"/>
  <c r="J76" i="7"/>
  <c r="I76" i="7"/>
  <c r="B76" i="7"/>
  <c r="J75" i="7"/>
  <c r="I75" i="7"/>
  <c r="B75" i="7"/>
  <c r="J74" i="7"/>
  <c r="I74" i="7"/>
  <c r="B74" i="7"/>
  <c r="J73" i="7"/>
  <c r="I73" i="7"/>
  <c r="B73" i="7"/>
  <c r="J72" i="7"/>
  <c r="I72" i="7"/>
  <c r="B72" i="7"/>
  <c r="J71" i="7"/>
  <c r="I71" i="7"/>
  <c r="B71" i="7"/>
  <c r="J70" i="7"/>
  <c r="I70" i="7"/>
  <c r="B70" i="7"/>
  <c r="J69" i="7"/>
  <c r="I69" i="7"/>
  <c r="B69" i="7"/>
  <c r="J68" i="7"/>
  <c r="I68" i="7"/>
  <c r="B68" i="7"/>
  <c r="J67" i="7"/>
  <c r="I67" i="7"/>
  <c r="B67" i="7"/>
  <c r="J66" i="7"/>
  <c r="I66" i="7"/>
  <c r="B66" i="7"/>
  <c r="J65" i="7"/>
  <c r="I65" i="7"/>
  <c r="B65" i="7"/>
  <c r="J64" i="7"/>
  <c r="I64" i="7"/>
  <c r="B64" i="7"/>
  <c r="J63" i="7"/>
  <c r="I63" i="7"/>
  <c r="B63" i="7"/>
  <c r="J62" i="7"/>
  <c r="I62" i="7"/>
  <c r="B62" i="7"/>
  <c r="J61" i="7"/>
  <c r="I61" i="7"/>
  <c r="B61" i="7"/>
  <c r="J60" i="7"/>
  <c r="I60" i="7"/>
  <c r="B60" i="7"/>
  <c r="J59" i="7"/>
  <c r="I59" i="7"/>
  <c r="B59" i="7"/>
  <c r="J58" i="7"/>
  <c r="I58" i="7"/>
  <c r="B58" i="7"/>
  <c r="J57" i="7"/>
  <c r="I57" i="7"/>
  <c r="B57" i="7"/>
  <c r="J56" i="7"/>
  <c r="I56" i="7"/>
  <c r="B56" i="7"/>
  <c r="J55" i="7"/>
  <c r="I55" i="7"/>
  <c r="B55" i="7"/>
  <c r="J54" i="7"/>
  <c r="I54" i="7"/>
  <c r="B54" i="7"/>
  <c r="J53" i="7"/>
  <c r="I53" i="7"/>
  <c r="B53" i="7"/>
  <c r="J52" i="7"/>
  <c r="I52" i="7"/>
  <c r="B52" i="7"/>
  <c r="J51" i="7"/>
  <c r="I51" i="7"/>
  <c r="B51" i="7"/>
  <c r="J50" i="7"/>
  <c r="I50" i="7"/>
  <c r="B50" i="7"/>
  <c r="J49" i="7"/>
  <c r="I49" i="7"/>
  <c r="B49" i="7"/>
  <c r="J48" i="7"/>
  <c r="I48" i="7"/>
  <c r="B48" i="7"/>
  <c r="J47" i="7"/>
  <c r="I47" i="7"/>
  <c r="B47" i="7"/>
  <c r="J46" i="7"/>
  <c r="I46" i="7"/>
  <c r="B46" i="7"/>
  <c r="J45" i="7"/>
  <c r="I45" i="7"/>
  <c r="B45" i="7"/>
  <c r="J44" i="7"/>
  <c r="I44" i="7"/>
  <c r="B44" i="7"/>
  <c r="J43" i="7"/>
  <c r="I43" i="7"/>
  <c r="B43" i="7"/>
  <c r="J42" i="7"/>
  <c r="I42" i="7"/>
  <c r="B42" i="7"/>
  <c r="J41" i="7"/>
  <c r="I41" i="7"/>
  <c r="B41" i="7"/>
  <c r="J40" i="7"/>
  <c r="I40" i="7"/>
  <c r="B40" i="7"/>
  <c r="J39" i="7"/>
  <c r="I39" i="7"/>
  <c r="B39" i="7"/>
  <c r="J38" i="7"/>
  <c r="I38" i="7"/>
  <c r="B38" i="7"/>
  <c r="J37" i="7"/>
  <c r="I37" i="7"/>
  <c r="B37" i="7"/>
  <c r="J36" i="7"/>
  <c r="I36" i="7"/>
  <c r="B36" i="7"/>
  <c r="J35" i="7"/>
  <c r="I35" i="7"/>
  <c r="B35" i="7"/>
  <c r="J34" i="7"/>
  <c r="I34" i="7"/>
  <c r="B34" i="7"/>
  <c r="J33" i="7"/>
  <c r="I33" i="7"/>
  <c r="B33" i="7"/>
  <c r="J32" i="7"/>
  <c r="I32" i="7"/>
  <c r="B32" i="7"/>
  <c r="J31" i="7"/>
  <c r="I31" i="7"/>
  <c r="B31" i="7"/>
  <c r="J30" i="7"/>
  <c r="I30" i="7"/>
  <c r="B30" i="7"/>
  <c r="J29" i="7"/>
  <c r="I29" i="7"/>
  <c r="B29" i="7"/>
  <c r="J28" i="7"/>
  <c r="I28" i="7"/>
  <c r="B28" i="7"/>
  <c r="J27" i="7"/>
  <c r="I27" i="7"/>
  <c r="B27" i="7"/>
  <c r="J26" i="7"/>
  <c r="I26" i="7"/>
  <c r="B26" i="7"/>
  <c r="J25" i="7"/>
  <c r="I25" i="7"/>
  <c r="B25" i="7"/>
  <c r="J24" i="7"/>
  <c r="I24" i="7"/>
  <c r="B24" i="7"/>
  <c r="J23" i="7"/>
  <c r="I23" i="7"/>
  <c r="B23" i="7"/>
  <c r="J22" i="7"/>
  <c r="I22" i="7"/>
  <c r="B22" i="7"/>
  <c r="J21" i="7"/>
  <c r="I21" i="7"/>
  <c r="B21" i="7"/>
  <c r="J20" i="7"/>
  <c r="I20" i="7"/>
  <c r="B20" i="7"/>
  <c r="J19" i="7"/>
  <c r="I19" i="7"/>
  <c r="B19" i="7"/>
  <c r="J18" i="7"/>
  <c r="I18" i="7"/>
  <c r="B18" i="7"/>
  <c r="J17" i="7"/>
  <c r="I17" i="7"/>
  <c r="B17" i="7"/>
  <c r="J16" i="7"/>
  <c r="I16" i="7"/>
  <c r="B16" i="7"/>
  <c r="J15" i="7"/>
  <c r="I15" i="7"/>
  <c r="B15" i="7"/>
  <c r="J14" i="7"/>
  <c r="I14" i="7"/>
  <c r="B14" i="7"/>
  <c r="J13" i="7"/>
  <c r="I13" i="7"/>
  <c r="B13" i="7"/>
  <c r="J12" i="7"/>
  <c r="I12" i="7"/>
  <c r="B12" i="7"/>
  <c r="J11" i="7"/>
  <c r="I11" i="7"/>
  <c r="B11" i="7"/>
  <c r="J10" i="7"/>
  <c r="I10" i="7"/>
  <c r="B10" i="7"/>
  <c r="G209" i="6"/>
  <c r="D209" i="6"/>
  <c r="C209" i="6"/>
  <c r="G208" i="6"/>
  <c r="D208" i="6"/>
  <c r="C208" i="6"/>
  <c r="G207" i="6"/>
  <c r="D207" i="6"/>
  <c r="C207" i="6"/>
  <c r="G206" i="6"/>
  <c r="D206" i="6"/>
  <c r="C206" i="6"/>
  <c r="G205" i="6"/>
  <c r="D205" i="6"/>
  <c r="C205" i="6"/>
  <c r="G204" i="6"/>
  <c r="D204" i="6"/>
  <c r="C204" i="6"/>
  <c r="G203" i="6"/>
  <c r="D203" i="6"/>
  <c r="C203" i="6"/>
  <c r="G202" i="6"/>
  <c r="D202" i="6"/>
  <c r="C202" i="6"/>
  <c r="G201" i="6"/>
  <c r="D201" i="6"/>
  <c r="C201" i="6"/>
  <c r="G200" i="6"/>
  <c r="D200" i="6"/>
  <c r="C200" i="6"/>
  <c r="G199" i="6"/>
  <c r="D199" i="6"/>
  <c r="C199" i="6"/>
  <c r="G198" i="6"/>
  <c r="D198" i="6"/>
  <c r="C198" i="6"/>
  <c r="G197" i="6"/>
  <c r="D197" i="6"/>
  <c r="C197" i="6"/>
  <c r="G196" i="6"/>
  <c r="D196" i="6"/>
  <c r="C196" i="6"/>
  <c r="G195" i="6"/>
  <c r="D195" i="6"/>
  <c r="C195" i="6"/>
  <c r="G194" i="6"/>
  <c r="D194" i="6"/>
  <c r="C194" i="6"/>
  <c r="G193" i="6"/>
  <c r="D193" i="6"/>
  <c r="C193" i="6"/>
  <c r="G192" i="6"/>
  <c r="D192" i="6"/>
  <c r="C192" i="6"/>
  <c r="G191" i="6"/>
  <c r="D191" i="6"/>
  <c r="C191" i="6"/>
  <c r="G190" i="6"/>
  <c r="D190" i="6"/>
  <c r="C190" i="6"/>
  <c r="G189" i="6"/>
  <c r="D189" i="6"/>
  <c r="C189" i="6"/>
  <c r="G188" i="6"/>
  <c r="D188" i="6"/>
  <c r="C188" i="6"/>
  <c r="G187" i="6"/>
  <c r="D187" i="6"/>
  <c r="C187" i="6"/>
  <c r="G186" i="6"/>
  <c r="D186" i="6"/>
  <c r="C186" i="6"/>
  <c r="G185" i="6"/>
  <c r="D185" i="6"/>
  <c r="C185" i="6"/>
  <c r="G184" i="6"/>
  <c r="D184" i="6"/>
  <c r="C184" i="6"/>
  <c r="G183" i="6"/>
  <c r="D183" i="6"/>
  <c r="C183" i="6"/>
  <c r="G182" i="6"/>
  <c r="D182" i="6"/>
  <c r="C182" i="6"/>
  <c r="G181" i="6"/>
  <c r="D181" i="6"/>
  <c r="C181" i="6"/>
  <c r="G180" i="6"/>
  <c r="D180" i="6"/>
  <c r="C180" i="6"/>
  <c r="G179" i="6"/>
  <c r="D179" i="6"/>
  <c r="C179" i="6"/>
  <c r="G178" i="6"/>
  <c r="D178" i="6"/>
  <c r="C178" i="6"/>
  <c r="G177" i="6"/>
  <c r="D177" i="6"/>
  <c r="C177" i="6"/>
  <c r="G176" i="6"/>
  <c r="D176" i="6"/>
  <c r="C176" i="6"/>
  <c r="G175" i="6"/>
  <c r="D175" i="6"/>
  <c r="C175" i="6"/>
  <c r="G174" i="6"/>
  <c r="D174" i="6"/>
  <c r="C174" i="6"/>
  <c r="G173" i="6"/>
  <c r="D173" i="6"/>
  <c r="C173" i="6"/>
  <c r="G172" i="6"/>
  <c r="D172" i="6"/>
  <c r="C172" i="6"/>
  <c r="G171" i="6"/>
  <c r="D171" i="6"/>
  <c r="C171" i="6"/>
  <c r="G170" i="6"/>
  <c r="D170" i="6"/>
  <c r="C170" i="6"/>
  <c r="G169" i="6"/>
  <c r="D169" i="6"/>
  <c r="C169" i="6"/>
  <c r="G168" i="6"/>
  <c r="D168" i="6"/>
  <c r="C168" i="6"/>
  <c r="G167" i="6"/>
  <c r="D167" i="6"/>
  <c r="C167" i="6"/>
  <c r="G166" i="6"/>
  <c r="D166" i="6"/>
  <c r="C166" i="6"/>
  <c r="G165" i="6"/>
  <c r="D165" i="6"/>
  <c r="C165" i="6"/>
  <c r="G164" i="6"/>
  <c r="D164" i="6"/>
  <c r="C164" i="6"/>
  <c r="G163" i="6"/>
  <c r="D163" i="6"/>
  <c r="C163" i="6"/>
  <c r="G162" i="6"/>
  <c r="D162" i="6"/>
  <c r="C162" i="6"/>
  <c r="G161" i="6"/>
  <c r="D161" i="6"/>
  <c r="C161" i="6"/>
  <c r="G160" i="6"/>
  <c r="D160" i="6"/>
  <c r="C160" i="6"/>
  <c r="G159" i="6"/>
  <c r="D159" i="6"/>
  <c r="C159" i="6"/>
  <c r="G158" i="6"/>
  <c r="D158" i="6"/>
  <c r="C158" i="6"/>
  <c r="G157" i="6"/>
  <c r="D157" i="6"/>
  <c r="C157" i="6"/>
  <c r="G156" i="6"/>
  <c r="D156" i="6"/>
  <c r="C156" i="6"/>
  <c r="G155" i="6"/>
  <c r="D155" i="6"/>
  <c r="C155" i="6"/>
  <c r="G154" i="6"/>
  <c r="D154" i="6"/>
  <c r="C154" i="6"/>
  <c r="G153" i="6"/>
  <c r="D153" i="6"/>
  <c r="C153" i="6"/>
  <c r="G152" i="6"/>
  <c r="D152" i="6"/>
  <c r="C152" i="6"/>
  <c r="G151" i="6"/>
  <c r="D151" i="6"/>
  <c r="C151" i="6"/>
  <c r="G150" i="6"/>
  <c r="D150" i="6"/>
  <c r="C150" i="6"/>
  <c r="G149" i="6"/>
  <c r="D149" i="6"/>
  <c r="C149" i="6"/>
  <c r="G148" i="6"/>
  <c r="D148" i="6"/>
  <c r="C148" i="6"/>
  <c r="G147" i="6"/>
  <c r="D147" i="6"/>
  <c r="C147" i="6"/>
  <c r="G146" i="6"/>
  <c r="D146" i="6"/>
  <c r="C146" i="6"/>
  <c r="G145" i="6"/>
  <c r="D145" i="6"/>
  <c r="C145" i="6"/>
  <c r="G144" i="6"/>
  <c r="D144" i="6"/>
  <c r="C144" i="6"/>
  <c r="G143" i="6"/>
  <c r="D143" i="6"/>
  <c r="C143" i="6"/>
  <c r="G142" i="6"/>
  <c r="D142" i="6"/>
  <c r="C142" i="6"/>
  <c r="G141" i="6"/>
  <c r="D141" i="6"/>
  <c r="C141" i="6"/>
  <c r="G140" i="6"/>
  <c r="D140" i="6"/>
  <c r="C140" i="6"/>
  <c r="G139" i="6"/>
  <c r="D139" i="6"/>
  <c r="C139" i="6"/>
  <c r="G138" i="6"/>
  <c r="D138" i="6"/>
  <c r="C138" i="6"/>
  <c r="G137" i="6"/>
  <c r="D137" i="6"/>
  <c r="C137" i="6"/>
  <c r="G136" i="6"/>
  <c r="D136" i="6"/>
  <c r="C136" i="6"/>
  <c r="G135" i="6"/>
  <c r="D135" i="6"/>
  <c r="C135" i="6"/>
  <c r="G134" i="6"/>
  <c r="D134" i="6"/>
  <c r="C134" i="6"/>
  <c r="G133" i="6"/>
  <c r="D133" i="6"/>
  <c r="C133" i="6"/>
  <c r="G132" i="6"/>
  <c r="D132" i="6"/>
  <c r="C132" i="6"/>
  <c r="G131" i="6"/>
  <c r="D131" i="6"/>
  <c r="C131" i="6"/>
  <c r="G130" i="6"/>
  <c r="D130" i="6"/>
  <c r="C130" i="6"/>
  <c r="G129" i="6"/>
  <c r="D129" i="6"/>
  <c r="C129" i="6"/>
  <c r="G128" i="6"/>
  <c r="D128" i="6"/>
  <c r="C128" i="6"/>
  <c r="G127" i="6"/>
  <c r="D127" i="6"/>
  <c r="C127" i="6"/>
  <c r="G126" i="6"/>
  <c r="D126" i="6"/>
  <c r="C126" i="6"/>
  <c r="G125" i="6"/>
  <c r="D125" i="6"/>
  <c r="C125" i="6"/>
  <c r="G124" i="6"/>
  <c r="D124" i="6"/>
  <c r="C124" i="6"/>
  <c r="G123" i="6"/>
  <c r="D123" i="6"/>
  <c r="C123" i="6"/>
  <c r="G122" i="6"/>
  <c r="D122" i="6"/>
  <c r="C122" i="6"/>
  <c r="G121" i="6"/>
  <c r="D121" i="6"/>
  <c r="C121" i="6"/>
  <c r="G120" i="6"/>
  <c r="D120" i="6"/>
  <c r="C120" i="6"/>
  <c r="G119" i="6"/>
  <c r="D119" i="6"/>
  <c r="C119" i="6"/>
  <c r="G118" i="6"/>
  <c r="D118" i="6"/>
  <c r="C118" i="6"/>
  <c r="G117" i="6"/>
  <c r="D117" i="6"/>
  <c r="C117" i="6"/>
  <c r="G116" i="6"/>
  <c r="D116" i="6"/>
  <c r="C116" i="6"/>
  <c r="G115" i="6"/>
  <c r="D115" i="6"/>
  <c r="C115" i="6"/>
  <c r="G114" i="6"/>
  <c r="D114" i="6"/>
  <c r="C114" i="6"/>
  <c r="G113" i="6"/>
  <c r="D113" i="6"/>
  <c r="C113" i="6"/>
  <c r="G112" i="6"/>
  <c r="D112" i="6"/>
  <c r="C112" i="6"/>
  <c r="G111" i="6"/>
  <c r="D111" i="6"/>
  <c r="C111" i="6"/>
  <c r="G110" i="6"/>
  <c r="D110" i="6"/>
  <c r="C110" i="6"/>
  <c r="G109" i="6"/>
  <c r="D109" i="6"/>
  <c r="C109" i="6"/>
  <c r="G108" i="6"/>
  <c r="D108" i="6"/>
  <c r="C108" i="6"/>
  <c r="G107" i="6"/>
  <c r="D107" i="6"/>
  <c r="C107" i="6"/>
  <c r="G106" i="6"/>
  <c r="D106" i="6"/>
  <c r="C106" i="6"/>
  <c r="G105" i="6"/>
  <c r="D105" i="6"/>
  <c r="C105" i="6"/>
  <c r="G104" i="6"/>
  <c r="D104" i="6"/>
  <c r="C104" i="6"/>
  <c r="G103" i="6"/>
  <c r="D103" i="6"/>
  <c r="C103" i="6"/>
  <c r="G102" i="6"/>
  <c r="D102" i="6"/>
  <c r="C102" i="6"/>
  <c r="G101" i="6"/>
  <c r="D101" i="6"/>
  <c r="C101" i="6"/>
  <c r="G100" i="6"/>
  <c r="D100" i="6"/>
  <c r="C100" i="6"/>
  <c r="G99" i="6"/>
  <c r="D99" i="6"/>
  <c r="C99" i="6"/>
  <c r="G98" i="6"/>
  <c r="D98" i="6"/>
  <c r="C98" i="6"/>
  <c r="G97" i="6"/>
  <c r="D97" i="6"/>
  <c r="C97" i="6"/>
  <c r="G96" i="6"/>
  <c r="D96" i="6"/>
  <c r="C96" i="6"/>
  <c r="G95" i="6"/>
  <c r="D95" i="6"/>
  <c r="C95" i="6"/>
  <c r="G94" i="6"/>
  <c r="D94" i="6"/>
  <c r="C94" i="6"/>
  <c r="G93" i="6"/>
  <c r="D93" i="6"/>
  <c r="C93" i="6"/>
  <c r="G92" i="6"/>
  <c r="D92" i="6"/>
  <c r="C92" i="6"/>
  <c r="G91" i="6"/>
  <c r="D91" i="6"/>
  <c r="C91" i="6"/>
  <c r="G90" i="6"/>
  <c r="D90" i="6"/>
  <c r="C90" i="6"/>
  <c r="G89" i="6"/>
  <c r="D89" i="6"/>
  <c r="C89" i="6"/>
  <c r="G88" i="6"/>
  <c r="D88" i="6"/>
  <c r="C88" i="6"/>
  <c r="G87" i="6"/>
  <c r="D87" i="6"/>
  <c r="C87" i="6"/>
  <c r="G86" i="6"/>
  <c r="D86" i="6"/>
  <c r="C86" i="6"/>
  <c r="G85" i="6"/>
  <c r="D85" i="6"/>
  <c r="C85" i="6"/>
  <c r="G84" i="6"/>
  <c r="D84" i="6"/>
  <c r="C84" i="6"/>
  <c r="G83" i="6"/>
  <c r="D83" i="6"/>
  <c r="C83" i="6"/>
  <c r="G82" i="6"/>
  <c r="D82" i="6"/>
  <c r="C82" i="6"/>
  <c r="G81" i="6"/>
  <c r="D81" i="6"/>
  <c r="C81" i="6"/>
  <c r="G80" i="6"/>
  <c r="D80" i="6"/>
  <c r="C80" i="6"/>
  <c r="G79" i="6"/>
  <c r="D79" i="6"/>
  <c r="C79" i="6"/>
  <c r="G78" i="6"/>
  <c r="D78" i="6"/>
  <c r="C78" i="6"/>
  <c r="G77" i="6"/>
  <c r="D77" i="6"/>
  <c r="C77" i="6"/>
  <c r="G76" i="6"/>
  <c r="D76" i="6"/>
  <c r="C76" i="6"/>
  <c r="G75" i="6"/>
  <c r="D75" i="6"/>
  <c r="C75" i="6"/>
  <c r="G74" i="6"/>
  <c r="D74" i="6"/>
  <c r="C74" i="6"/>
  <c r="G73" i="6"/>
  <c r="D73" i="6"/>
  <c r="C73" i="6"/>
  <c r="G72" i="6"/>
  <c r="D72" i="6"/>
  <c r="C72" i="6"/>
  <c r="G71" i="6"/>
  <c r="D71" i="6"/>
  <c r="C71" i="6"/>
  <c r="G70" i="6"/>
  <c r="D70" i="6"/>
  <c r="C70" i="6"/>
  <c r="G69" i="6"/>
  <c r="D69" i="6"/>
  <c r="C69" i="6"/>
  <c r="G68" i="6"/>
  <c r="D68" i="6"/>
  <c r="C68" i="6"/>
  <c r="G67" i="6"/>
  <c r="D67" i="6"/>
  <c r="C67" i="6"/>
  <c r="G66" i="6"/>
  <c r="D66" i="6"/>
  <c r="C66" i="6"/>
  <c r="G65" i="6"/>
  <c r="D65" i="6"/>
  <c r="C65" i="6"/>
  <c r="G64" i="6"/>
  <c r="D64" i="6"/>
  <c r="C64" i="6"/>
  <c r="G63" i="6"/>
  <c r="D63" i="6"/>
  <c r="C63" i="6"/>
  <c r="G62" i="6"/>
  <c r="D62" i="6"/>
  <c r="C62" i="6"/>
  <c r="G61" i="6"/>
  <c r="D61" i="6"/>
  <c r="C61" i="6"/>
  <c r="G60" i="6"/>
  <c r="D60" i="6"/>
  <c r="C60" i="6"/>
  <c r="G59" i="6"/>
  <c r="D59" i="6"/>
  <c r="C59" i="6"/>
  <c r="G58" i="6"/>
  <c r="D58" i="6"/>
  <c r="C58" i="6"/>
  <c r="G57" i="6"/>
  <c r="D57" i="6"/>
  <c r="C57" i="6"/>
  <c r="G56" i="6"/>
  <c r="D56" i="6"/>
  <c r="C56" i="6"/>
  <c r="G55" i="6"/>
  <c r="D55" i="6"/>
  <c r="C55" i="6"/>
  <c r="G54" i="6"/>
  <c r="D54" i="6"/>
  <c r="C54" i="6"/>
  <c r="G53" i="6"/>
  <c r="J40" i="9" s="1"/>
  <c r="D53" i="6"/>
  <c r="C53" i="6"/>
  <c r="G52" i="6"/>
  <c r="D52" i="6"/>
  <c r="C52" i="6"/>
  <c r="G51" i="6"/>
  <c r="J51" i="9" s="1"/>
  <c r="D51" i="6"/>
  <c r="C51" i="6"/>
  <c r="G50" i="6"/>
  <c r="D50" i="6"/>
  <c r="C50" i="6"/>
  <c r="G49" i="6"/>
  <c r="J28" i="9" s="1"/>
  <c r="D49" i="6"/>
  <c r="C49" i="6"/>
  <c r="G48" i="6"/>
  <c r="D48" i="6"/>
  <c r="C48" i="6"/>
  <c r="G47" i="6"/>
  <c r="J64" i="9" s="1"/>
  <c r="D47" i="6"/>
  <c r="C47" i="6"/>
  <c r="G46" i="6"/>
  <c r="D46" i="6"/>
  <c r="C46" i="6"/>
  <c r="G45" i="6"/>
  <c r="D45" i="6"/>
  <c r="C45" i="6"/>
  <c r="G44" i="6"/>
  <c r="D44" i="6"/>
  <c r="C44" i="6"/>
  <c r="G43" i="6"/>
  <c r="J67" i="9" s="1"/>
  <c r="D43" i="6"/>
  <c r="C43" i="6"/>
  <c r="G42" i="6"/>
  <c r="D42" i="6"/>
  <c r="C42" i="6"/>
  <c r="G41" i="6"/>
  <c r="D41" i="6"/>
  <c r="C41" i="6"/>
  <c r="G40" i="6"/>
  <c r="D40" i="6"/>
  <c r="C40" i="6"/>
  <c r="G39" i="6"/>
  <c r="J37" i="9" s="1"/>
  <c r="D39" i="6"/>
  <c r="C39" i="6"/>
  <c r="G38" i="6"/>
  <c r="D38" i="6"/>
  <c r="C38" i="6"/>
  <c r="G37" i="6"/>
  <c r="J24" i="9" s="1"/>
  <c r="D37" i="6"/>
  <c r="C37" i="6"/>
  <c r="G36" i="6"/>
  <c r="D36" i="6"/>
  <c r="C36" i="6"/>
  <c r="G35" i="6"/>
  <c r="J11" i="9" s="1"/>
  <c r="D35" i="6"/>
  <c r="C35" i="6"/>
  <c r="G34" i="6"/>
  <c r="D34" i="6"/>
  <c r="C34" i="6"/>
  <c r="G33" i="6"/>
  <c r="J27" i="9" s="1"/>
  <c r="D33" i="6"/>
  <c r="C33" i="6"/>
  <c r="G32" i="6"/>
  <c r="D32" i="6"/>
  <c r="C32" i="6"/>
  <c r="G31" i="6"/>
  <c r="J35" i="9" s="1"/>
  <c r="D31" i="6"/>
  <c r="C31" i="6"/>
  <c r="G30" i="6"/>
  <c r="D30" i="6"/>
  <c r="C30" i="6"/>
  <c r="G29" i="6"/>
  <c r="D29" i="6"/>
  <c r="C29" i="6"/>
  <c r="G28" i="6"/>
  <c r="D28" i="6"/>
  <c r="C28" i="6"/>
  <c r="G27" i="6"/>
  <c r="J61" i="9" s="1"/>
  <c r="D27" i="6"/>
  <c r="C27" i="6"/>
  <c r="G26" i="6"/>
  <c r="D26" i="6"/>
  <c r="C26" i="6"/>
  <c r="G25" i="6"/>
  <c r="J14" i="9" s="1"/>
  <c r="D25" i="6"/>
  <c r="C25" i="6"/>
  <c r="G24" i="6"/>
  <c r="D24" i="6"/>
  <c r="C24" i="6"/>
  <c r="G23" i="6"/>
  <c r="J72" i="9" s="1"/>
  <c r="D23" i="6"/>
  <c r="C23" i="6"/>
  <c r="G22" i="6"/>
  <c r="D22" i="6"/>
  <c r="C22" i="6"/>
  <c r="G21" i="6"/>
  <c r="J77" i="9" s="1"/>
  <c r="D21" i="6"/>
  <c r="C21" i="6"/>
  <c r="G20" i="6"/>
  <c r="D20" i="6"/>
  <c r="C20" i="6"/>
  <c r="G19" i="6"/>
  <c r="J59" i="9" s="1"/>
  <c r="D19" i="6"/>
  <c r="C19" i="6"/>
  <c r="G18" i="6"/>
  <c r="D18" i="6"/>
  <c r="C18" i="6"/>
  <c r="G17" i="6"/>
  <c r="D17" i="6"/>
  <c r="C17" i="6"/>
  <c r="G16" i="6"/>
  <c r="D16" i="6"/>
  <c r="C16" i="6"/>
  <c r="G15" i="6"/>
  <c r="J78" i="9" s="1"/>
  <c r="D15" i="6"/>
  <c r="C15" i="6"/>
  <c r="G14" i="6"/>
  <c r="D14" i="6"/>
  <c r="C14" i="6"/>
  <c r="G13" i="6"/>
  <c r="J53" i="9" s="1"/>
  <c r="D13" i="6"/>
  <c r="C13" i="6"/>
  <c r="G12" i="6"/>
  <c r="D12" i="6"/>
  <c r="C12" i="6"/>
  <c r="G11" i="6"/>
  <c r="D11" i="6"/>
  <c r="C11" i="6"/>
  <c r="G10" i="6"/>
  <c r="D10" i="6"/>
  <c r="C10" i="6"/>
  <c r="H6" i="6"/>
  <c r="F6" i="6"/>
  <c r="B6" i="6"/>
  <c r="G209" i="5"/>
  <c r="C209" i="5"/>
  <c r="G208" i="5"/>
  <c r="C208" i="5"/>
  <c r="G207" i="5"/>
  <c r="C207" i="5"/>
  <c r="G206" i="5"/>
  <c r="C206" i="5"/>
  <c r="G205" i="5"/>
  <c r="C205" i="5"/>
  <c r="G204" i="5"/>
  <c r="C204" i="5"/>
  <c r="G203" i="5"/>
  <c r="C203" i="5"/>
  <c r="G202" i="5"/>
  <c r="C202" i="5"/>
  <c r="G201" i="5"/>
  <c r="C201" i="5"/>
  <c r="G200" i="5"/>
  <c r="C200" i="5"/>
  <c r="G199" i="5"/>
  <c r="C199" i="5"/>
  <c r="G198" i="5"/>
  <c r="C198" i="5"/>
  <c r="G197" i="5"/>
  <c r="C197" i="5"/>
  <c r="G196" i="5"/>
  <c r="C196" i="5"/>
  <c r="G195" i="5"/>
  <c r="C195" i="5"/>
  <c r="G194" i="5"/>
  <c r="C194" i="5"/>
  <c r="G193" i="5"/>
  <c r="C193" i="5"/>
  <c r="G192" i="5"/>
  <c r="C192" i="5"/>
  <c r="G191" i="5"/>
  <c r="C191" i="5"/>
  <c r="G190" i="5"/>
  <c r="C190" i="5"/>
  <c r="G189" i="5"/>
  <c r="C189" i="5"/>
  <c r="G188" i="5"/>
  <c r="C188" i="5"/>
  <c r="G187" i="5"/>
  <c r="C187" i="5"/>
  <c r="G186" i="5"/>
  <c r="C186" i="5"/>
  <c r="G185" i="5"/>
  <c r="C185" i="5"/>
  <c r="G184" i="5"/>
  <c r="C184" i="5"/>
  <c r="G183" i="5"/>
  <c r="C183" i="5"/>
  <c r="G182" i="5"/>
  <c r="C182" i="5"/>
  <c r="G181" i="5"/>
  <c r="C181" i="5"/>
  <c r="G180" i="5"/>
  <c r="C180" i="5"/>
  <c r="G179" i="5"/>
  <c r="C179" i="5"/>
  <c r="G178" i="5"/>
  <c r="C178" i="5"/>
  <c r="G177" i="5"/>
  <c r="C177" i="5"/>
  <c r="G176" i="5"/>
  <c r="C176" i="5"/>
  <c r="G175" i="5"/>
  <c r="C175" i="5"/>
  <c r="G174" i="5"/>
  <c r="C174" i="5"/>
  <c r="G173" i="5"/>
  <c r="C173" i="5"/>
  <c r="G172" i="5"/>
  <c r="C172" i="5"/>
  <c r="G171" i="5"/>
  <c r="C171" i="5"/>
  <c r="G170" i="5"/>
  <c r="C170" i="5"/>
  <c r="G169" i="5"/>
  <c r="C169" i="5"/>
  <c r="G168" i="5"/>
  <c r="C168" i="5"/>
  <c r="G167" i="5"/>
  <c r="C167" i="5"/>
  <c r="G166" i="5"/>
  <c r="C166" i="5"/>
  <c r="G165" i="5"/>
  <c r="C165" i="5"/>
  <c r="G164" i="5"/>
  <c r="C164" i="5"/>
  <c r="G163" i="5"/>
  <c r="C163" i="5"/>
  <c r="G162" i="5"/>
  <c r="C162" i="5"/>
  <c r="G161" i="5"/>
  <c r="C161" i="5"/>
  <c r="G160" i="5"/>
  <c r="C160" i="5"/>
  <c r="G159" i="5"/>
  <c r="C159" i="5"/>
  <c r="G158" i="5"/>
  <c r="C158" i="5"/>
  <c r="G157" i="5"/>
  <c r="C157" i="5"/>
  <c r="G156" i="5"/>
  <c r="C156" i="5"/>
  <c r="G155" i="5"/>
  <c r="C155" i="5"/>
  <c r="G154" i="5"/>
  <c r="C154" i="5"/>
  <c r="G153" i="5"/>
  <c r="C153" i="5"/>
  <c r="G152" i="5"/>
  <c r="C152" i="5"/>
  <c r="G151" i="5"/>
  <c r="C151" i="5"/>
  <c r="G150" i="5"/>
  <c r="C150" i="5"/>
  <c r="G149" i="5"/>
  <c r="C149" i="5"/>
  <c r="G148" i="5"/>
  <c r="C148" i="5"/>
  <c r="G147" i="5"/>
  <c r="C147" i="5"/>
  <c r="G146" i="5"/>
  <c r="C146" i="5"/>
  <c r="G145" i="5"/>
  <c r="C145" i="5"/>
  <c r="G144" i="5"/>
  <c r="C144" i="5"/>
  <c r="G143" i="5"/>
  <c r="C143" i="5"/>
  <c r="G142" i="5"/>
  <c r="C142" i="5"/>
  <c r="G141" i="5"/>
  <c r="C141" i="5"/>
  <c r="G140" i="5"/>
  <c r="C140" i="5"/>
  <c r="G139" i="5"/>
  <c r="C139" i="5"/>
  <c r="G138" i="5"/>
  <c r="C138" i="5"/>
  <c r="G137" i="5"/>
  <c r="C137" i="5"/>
  <c r="G136" i="5"/>
  <c r="C136" i="5"/>
  <c r="G135" i="5"/>
  <c r="C135" i="5"/>
  <c r="G134" i="5"/>
  <c r="C134" i="5"/>
  <c r="G133" i="5"/>
  <c r="C133" i="5"/>
  <c r="G132" i="5"/>
  <c r="C132" i="5"/>
  <c r="G131" i="5"/>
  <c r="C131" i="5"/>
  <c r="G130" i="5"/>
  <c r="C130" i="5"/>
  <c r="G129" i="5"/>
  <c r="C129" i="5"/>
  <c r="G128" i="5"/>
  <c r="C128" i="5"/>
  <c r="G127" i="5"/>
  <c r="C127" i="5"/>
  <c r="G126" i="5"/>
  <c r="C126" i="5"/>
  <c r="G125" i="5"/>
  <c r="C125" i="5"/>
  <c r="G124" i="5"/>
  <c r="C124" i="5"/>
  <c r="G123" i="5"/>
  <c r="C123" i="5"/>
  <c r="G122" i="5"/>
  <c r="C122" i="5"/>
  <c r="G121" i="5"/>
  <c r="C121" i="5"/>
  <c r="G120" i="5"/>
  <c r="C120" i="5"/>
  <c r="G119" i="5"/>
  <c r="C119" i="5"/>
  <c r="G118" i="5"/>
  <c r="C118" i="5"/>
  <c r="G117" i="5"/>
  <c r="C117" i="5"/>
  <c r="G116" i="5"/>
  <c r="C116" i="5"/>
  <c r="G115" i="5"/>
  <c r="C115" i="5"/>
  <c r="G114" i="5"/>
  <c r="C114" i="5"/>
  <c r="G113" i="5"/>
  <c r="C113" i="5"/>
  <c r="G112" i="5"/>
  <c r="C112" i="5"/>
  <c r="G111" i="5"/>
  <c r="C111" i="5"/>
  <c r="G110" i="5"/>
  <c r="C110" i="5"/>
  <c r="G109" i="5"/>
  <c r="C109" i="5"/>
  <c r="G108" i="5"/>
  <c r="C108" i="5"/>
  <c r="G107" i="5"/>
  <c r="C107" i="5"/>
  <c r="G106" i="5"/>
  <c r="C106" i="5"/>
  <c r="G105" i="5"/>
  <c r="C105" i="5"/>
  <c r="G104" i="5"/>
  <c r="C104" i="5"/>
  <c r="G103" i="5"/>
  <c r="C103" i="5"/>
  <c r="G102" i="5"/>
  <c r="C102" i="5"/>
  <c r="G101" i="5"/>
  <c r="C101" i="5"/>
  <c r="G100" i="5"/>
  <c r="C100" i="5"/>
  <c r="G99" i="5"/>
  <c r="C99" i="5"/>
  <c r="G98" i="5"/>
  <c r="C98" i="5"/>
  <c r="G97" i="5"/>
  <c r="C97" i="5"/>
  <c r="G96" i="5"/>
  <c r="C96" i="5"/>
  <c r="G95" i="5"/>
  <c r="C95" i="5"/>
  <c r="G94" i="5"/>
  <c r="C94" i="5"/>
  <c r="G93" i="5"/>
  <c r="C93" i="5"/>
  <c r="G92" i="5"/>
  <c r="C92" i="5"/>
  <c r="G91" i="5"/>
  <c r="C91" i="5"/>
  <c r="G90" i="5"/>
  <c r="C90" i="5"/>
  <c r="G89" i="5"/>
  <c r="C89" i="5"/>
  <c r="G88" i="5"/>
  <c r="C88" i="5"/>
  <c r="G87" i="5"/>
  <c r="C87" i="5"/>
  <c r="G86" i="5"/>
  <c r="C86" i="5"/>
  <c r="G85" i="5"/>
  <c r="C85" i="5"/>
  <c r="G84" i="5"/>
  <c r="C84" i="5"/>
  <c r="G83" i="5"/>
  <c r="C83" i="5"/>
  <c r="G82" i="5"/>
  <c r="C82" i="5"/>
  <c r="G81" i="5"/>
  <c r="C81" i="5"/>
  <c r="G80" i="5"/>
  <c r="C80" i="5"/>
  <c r="G79" i="5"/>
  <c r="C79" i="5"/>
  <c r="G78" i="5"/>
  <c r="C78" i="5"/>
  <c r="G77" i="5"/>
  <c r="C77" i="5"/>
  <c r="G76" i="5"/>
  <c r="C76" i="5"/>
  <c r="G75" i="5"/>
  <c r="C75" i="5"/>
  <c r="G74" i="5"/>
  <c r="C74" i="5"/>
  <c r="G73" i="5"/>
  <c r="C73" i="5"/>
  <c r="G72" i="5"/>
  <c r="C72" i="5"/>
  <c r="G71" i="5"/>
  <c r="C71" i="5"/>
  <c r="G70" i="5"/>
  <c r="C70" i="5"/>
  <c r="G69" i="5"/>
  <c r="C69" i="5"/>
  <c r="G68" i="5"/>
  <c r="C68" i="5"/>
  <c r="G67" i="5"/>
  <c r="C67" i="5"/>
  <c r="G66" i="5"/>
  <c r="C66" i="5"/>
  <c r="G65" i="5"/>
  <c r="C65" i="5"/>
  <c r="G64" i="5"/>
  <c r="C64" i="5"/>
  <c r="G63" i="5"/>
  <c r="C63" i="5"/>
  <c r="G62" i="5"/>
  <c r="C62" i="5"/>
  <c r="G61" i="5"/>
  <c r="C61" i="5"/>
  <c r="G60" i="5"/>
  <c r="C60" i="5"/>
  <c r="G59" i="5"/>
  <c r="C59" i="5"/>
  <c r="G58" i="5"/>
  <c r="C58" i="5"/>
  <c r="G57" i="5"/>
  <c r="C57" i="5"/>
  <c r="G56" i="5"/>
  <c r="C56" i="5"/>
  <c r="G55" i="5"/>
  <c r="C55" i="5"/>
  <c r="G54" i="5"/>
  <c r="C54" i="5"/>
  <c r="G53" i="5"/>
  <c r="C53" i="5"/>
  <c r="G52" i="5"/>
  <c r="C52" i="5"/>
  <c r="G51" i="5"/>
  <c r="C51" i="5"/>
  <c r="G50" i="5"/>
  <c r="C50" i="5"/>
  <c r="G49" i="5"/>
  <c r="C49" i="5"/>
  <c r="G48" i="5"/>
  <c r="C48" i="5"/>
  <c r="G47" i="5"/>
  <c r="C47" i="5"/>
  <c r="G46" i="5"/>
  <c r="C46" i="5"/>
  <c r="G45" i="5"/>
  <c r="C45" i="5"/>
  <c r="G44" i="5"/>
  <c r="C44" i="5"/>
  <c r="G43" i="5"/>
  <c r="C43" i="5"/>
  <c r="G42" i="5"/>
  <c r="C42" i="5"/>
  <c r="G41" i="5"/>
  <c r="C41" i="5"/>
  <c r="G40" i="5"/>
  <c r="C40" i="5"/>
  <c r="G39" i="5"/>
  <c r="C39" i="5"/>
  <c r="G38" i="5"/>
  <c r="C38" i="5"/>
  <c r="G37" i="5"/>
  <c r="C37" i="5"/>
  <c r="G36" i="5"/>
  <c r="C36" i="5"/>
  <c r="G35" i="5"/>
  <c r="C35" i="5"/>
  <c r="G34" i="5"/>
  <c r="C34" i="5"/>
  <c r="G33" i="5"/>
  <c r="C33" i="5"/>
  <c r="G32" i="5"/>
  <c r="C32" i="5"/>
  <c r="G31" i="5"/>
  <c r="C31" i="5"/>
  <c r="G30" i="5"/>
  <c r="C30" i="5"/>
  <c r="G29" i="5"/>
  <c r="C29" i="5"/>
  <c r="G28" i="5"/>
  <c r="C28" i="5"/>
  <c r="G27" i="5"/>
  <c r="C27" i="5"/>
  <c r="G26" i="5"/>
  <c r="C26" i="5"/>
  <c r="G25" i="5"/>
  <c r="C25" i="5"/>
  <c r="G24" i="5"/>
  <c r="C24" i="5"/>
  <c r="G23" i="5"/>
  <c r="C23" i="5"/>
  <c r="G22" i="5"/>
  <c r="C22" i="5"/>
  <c r="G21" i="5"/>
  <c r="C21" i="5"/>
  <c r="G20" i="5"/>
  <c r="C20" i="5"/>
  <c r="G19" i="5"/>
  <c r="C19" i="5"/>
  <c r="G18" i="5"/>
  <c r="C18" i="5"/>
  <c r="G17" i="5"/>
  <c r="C17" i="5"/>
  <c r="G16" i="5"/>
  <c r="C16" i="5"/>
  <c r="G15" i="5"/>
  <c r="C15" i="5"/>
  <c r="G14" i="5"/>
  <c r="C14" i="5"/>
  <c r="G13" i="5"/>
  <c r="C13" i="5"/>
  <c r="G12" i="5"/>
  <c r="C12" i="5"/>
  <c r="G11" i="5"/>
  <c r="C11" i="5"/>
  <c r="G10" i="5"/>
  <c r="C10" i="5"/>
  <c r="H6" i="5"/>
  <c r="F6" i="5"/>
  <c r="D6" i="5"/>
  <c r="B6" i="5"/>
  <c r="M509" i="4"/>
  <c r="L509" i="4"/>
  <c r="K509" i="4"/>
  <c r="J509" i="4"/>
  <c r="D509" i="4"/>
  <c r="C509" i="4"/>
  <c r="M508" i="4"/>
  <c r="L508" i="4"/>
  <c r="K508" i="4"/>
  <c r="J508" i="4"/>
  <c r="D508" i="4"/>
  <c r="C508" i="4"/>
  <c r="M507" i="4"/>
  <c r="L507" i="4"/>
  <c r="K507" i="4"/>
  <c r="J507" i="4"/>
  <c r="D507" i="4"/>
  <c r="C507" i="4"/>
  <c r="M506" i="4"/>
  <c r="L506" i="4"/>
  <c r="K506" i="4"/>
  <c r="J506" i="4"/>
  <c r="D506" i="4"/>
  <c r="C506" i="4"/>
  <c r="M505" i="4"/>
  <c r="L505" i="4"/>
  <c r="K505" i="4"/>
  <c r="J505" i="4"/>
  <c r="D505" i="4"/>
  <c r="C505" i="4"/>
  <c r="M504" i="4"/>
  <c r="L504" i="4"/>
  <c r="K504" i="4"/>
  <c r="J504" i="4"/>
  <c r="D504" i="4"/>
  <c r="C504" i="4"/>
  <c r="M503" i="4"/>
  <c r="L503" i="4"/>
  <c r="K503" i="4"/>
  <c r="J503" i="4"/>
  <c r="D503" i="4"/>
  <c r="C503" i="4"/>
  <c r="M502" i="4"/>
  <c r="L502" i="4"/>
  <c r="K502" i="4"/>
  <c r="J502" i="4"/>
  <c r="D502" i="4"/>
  <c r="C502" i="4"/>
  <c r="M501" i="4"/>
  <c r="L501" i="4"/>
  <c r="K501" i="4"/>
  <c r="J501" i="4"/>
  <c r="D501" i="4"/>
  <c r="C501" i="4"/>
  <c r="M500" i="4"/>
  <c r="L500" i="4"/>
  <c r="K500" i="4"/>
  <c r="J500" i="4"/>
  <c r="D500" i="4"/>
  <c r="C500" i="4"/>
  <c r="M499" i="4"/>
  <c r="L499" i="4"/>
  <c r="K499" i="4"/>
  <c r="J499" i="4"/>
  <c r="D499" i="4"/>
  <c r="C499" i="4"/>
  <c r="M498" i="4"/>
  <c r="L498" i="4"/>
  <c r="K498" i="4"/>
  <c r="J498" i="4"/>
  <c r="D498" i="4"/>
  <c r="C498" i="4"/>
  <c r="M497" i="4"/>
  <c r="L497" i="4"/>
  <c r="K497" i="4"/>
  <c r="J497" i="4"/>
  <c r="D497" i="4"/>
  <c r="C497" i="4"/>
  <c r="M496" i="4"/>
  <c r="L496" i="4"/>
  <c r="K496" i="4"/>
  <c r="J496" i="4"/>
  <c r="D496" i="4"/>
  <c r="C496" i="4"/>
  <c r="M495" i="4"/>
  <c r="L495" i="4"/>
  <c r="K495" i="4"/>
  <c r="J495" i="4"/>
  <c r="D495" i="4"/>
  <c r="C495" i="4"/>
  <c r="M494" i="4"/>
  <c r="L494" i="4"/>
  <c r="K494" i="4"/>
  <c r="J494" i="4"/>
  <c r="D494" i="4"/>
  <c r="C494" i="4"/>
  <c r="M493" i="4"/>
  <c r="L493" i="4"/>
  <c r="K493" i="4"/>
  <c r="J493" i="4"/>
  <c r="D493" i="4"/>
  <c r="C493" i="4"/>
  <c r="M492" i="4"/>
  <c r="L492" i="4"/>
  <c r="K492" i="4"/>
  <c r="J492" i="4"/>
  <c r="D492" i="4"/>
  <c r="C492" i="4"/>
  <c r="M491" i="4"/>
  <c r="L491" i="4"/>
  <c r="K491" i="4"/>
  <c r="J491" i="4"/>
  <c r="D491" i="4"/>
  <c r="C491" i="4"/>
  <c r="M490" i="4"/>
  <c r="L490" i="4"/>
  <c r="K490" i="4"/>
  <c r="J490" i="4"/>
  <c r="D490" i="4"/>
  <c r="C490" i="4"/>
  <c r="M489" i="4"/>
  <c r="L489" i="4"/>
  <c r="K489" i="4"/>
  <c r="J489" i="4"/>
  <c r="D489" i="4"/>
  <c r="C489" i="4"/>
  <c r="M488" i="4"/>
  <c r="L488" i="4"/>
  <c r="K488" i="4"/>
  <c r="J488" i="4"/>
  <c r="D488" i="4"/>
  <c r="C488" i="4"/>
  <c r="M487" i="4"/>
  <c r="L487" i="4"/>
  <c r="K487" i="4"/>
  <c r="J487" i="4"/>
  <c r="D487" i="4"/>
  <c r="C487" i="4"/>
  <c r="M486" i="4"/>
  <c r="L486" i="4"/>
  <c r="K486" i="4"/>
  <c r="J486" i="4"/>
  <c r="D486" i="4"/>
  <c r="C486" i="4"/>
  <c r="M485" i="4"/>
  <c r="L485" i="4"/>
  <c r="K485" i="4"/>
  <c r="J485" i="4"/>
  <c r="D485" i="4"/>
  <c r="C485" i="4"/>
  <c r="M484" i="4"/>
  <c r="L484" i="4"/>
  <c r="K484" i="4"/>
  <c r="J484" i="4"/>
  <c r="D484" i="4"/>
  <c r="C484" i="4"/>
  <c r="M483" i="4"/>
  <c r="L483" i="4"/>
  <c r="K483" i="4"/>
  <c r="J483" i="4"/>
  <c r="D483" i="4"/>
  <c r="C483" i="4"/>
  <c r="M482" i="4"/>
  <c r="L482" i="4"/>
  <c r="K482" i="4"/>
  <c r="J482" i="4"/>
  <c r="D482" i="4"/>
  <c r="C482" i="4"/>
  <c r="M481" i="4"/>
  <c r="L481" i="4"/>
  <c r="K481" i="4"/>
  <c r="J481" i="4"/>
  <c r="D481" i="4"/>
  <c r="C481" i="4"/>
  <c r="M480" i="4"/>
  <c r="L480" i="4"/>
  <c r="K480" i="4"/>
  <c r="J480" i="4"/>
  <c r="D480" i="4"/>
  <c r="C480" i="4"/>
  <c r="M479" i="4"/>
  <c r="L479" i="4"/>
  <c r="K479" i="4"/>
  <c r="J479" i="4"/>
  <c r="D479" i="4"/>
  <c r="C479" i="4"/>
  <c r="M478" i="4"/>
  <c r="L478" i="4"/>
  <c r="K478" i="4"/>
  <c r="J478" i="4"/>
  <c r="D478" i="4"/>
  <c r="C478" i="4"/>
  <c r="M477" i="4"/>
  <c r="L477" i="4"/>
  <c r="K477" i="4"/>
  <c r="J477" i="4"/>
  <c r="D477" i="4"/>
  <c r="C477" i="4"/>
  <c r="M476" i="4"/>
  <c r="L476" i="4"/>
  <c r="K476" i="4"/>
  <c r="J476" i="4"/>
  <c r="D476" i="4"/>
  <c r="C476" i="4"/>
  <c r="M475" i="4"/>
  <c r="L475" i="4"/>
  <c r="K475" i="4"/>
  <c r="J475" i="4"/>
  <c r="D475" i="4"/>
  <c r="C475" i="4"/>
  <c r="M474" i="4"/>
  <c r="L474" i="4"/>
  <c r="K474" i="4"/>
  <c r="J474" i="4"/>
  <c r="D474" i="4"/>
  <c r="C474" i="4"/>
  <c r="M473" i="4"/>
  <c r="L473" i="4"/>
  <c r="K473" i="4"/>
  <c r="J473" i="4"/>
  <c r="D473" i="4"/>
  <c r="C473" i="4"/>
  <c r="M472" i="4"/>
  <c r="L472" i="4"/>
  <c r="K472" i="4"/>
  <c r="J472" i="4"/>
  <c r="D472" i="4"/>
  <c r="C472" i="4"/>
  <c r="M471" i="4"/>
  <c r="L471" i="4"/>
  <c r="K471" i="4"/>
  <c r="J471" i="4"/>
  <c r="D471" i="4"/>
  <c r="C471" i="4"/>
  <c r="M470" i="4"/>
  <c r="L470" i="4"/>
  <c r="K470" i="4"/>
  <c r="J470" i="4"/>
  <c r="D470" i="4"/>
  <c r="C470" i="4"/>
  <c r="M469" i="4"/>
  <c r="L469" i="4"/>
  <c r="K469" i="4"/>
  <c r="J469" i="4"/>
  <c r="D469" i="4"/>
  <c r="C469" i="4"/>
  <c r="M468" i="4"/>
  <c r="L468" i="4"/>
  <c r="K468" i="4"/>
  <c r="J468" i="4"/>
  <c r="D468" i="4"/>
  <c r="C468" i="4"/>
  <c r="M467" i="4"/>
  <c r="L467" i="4"/>
  <c r="K467" i="4"/>
  <c r="J467" i="4"/>
  <c r="D467" i="4"/>
  <c r="C467" i="4"/>
  <c r="M466" i="4"/>
  <c r="L466" i="4"/>
  <c r="K466" i="4"/>
  <c r="J466" i="4"/>
  <c r="D466" i="4"/>
  <c r="C466" i="4"/>
  <c r="M465" i="4"/>
  <c r="L465" i="4"/>
  <c r="K465" i="4"/>
  <c r="J465" i="4"/>
  <c r="D465" i="4"/>
  <c r="C465" i="4"/>
  <c r="M464" i="4"/>
  <c r="L464" i="4"/>
  <c r="K464" i="4"/>
  <c r="J464" i="4"/>
  <c r="D464" i="4"/>
  <c r="C464" i="4"/>
  <c r="M463" i="4"/>
  <c r="L463" i="4"/>
  <c r="K463" i="4"/>
  <c r="J463" i="4"/>
  <c r="D463" i="4"/>
  <c r="C463" i="4"/>
  <c r="M462" i="4"/>
  <c r="L462" i="4"/>
  <c r="K462" i="4"/>
  <c r="J462" i="4"/>
  <c r="D462" i="4"/>
  <c r="C462" i="4"/>
  <c r="M461" i="4"/>
  <c r="L461" i="4"/>
  <c r="K461" i="4"/>
  <c r="J461" i="4"/>
  <c r="D461" i="4"/>
  <c r="C461" i="4"/>
  <c r="M460" i="4"/>
  <c r="L460" i="4"/>
  <c r="K460" i="4"/>
  <c r="J460" i="4"/>
  <c r="D460" i="4"/>
  <c r="C460" i="4"/>
  <c r="M459" i="4"/>
  <c r="L459" i="4"/>
  <c r="K459" i="4"/>
  <c r="J459" i="4"/>
  <c r="D459" i="4"/>
  <c r="C459" i="4"/>
  <c r="M458" i="4"/>
  <c r="L458" i="4"/>
  <c r="K458" i="4"/>
  <c r="J458" i="4"/>
  <c r="D458" i="4"/>
  <c r="C458" i="4"/>
  <c r="M457" i="4"/>
  <c r="L457" i="4"/>
  <c r="K457" i="4"/>
  <c r="J457" i="4"/>
  <c r="D457" i="4"/>
  <c r="C457" i="4"/>
  <c r="M456" i="4"/>
  <c r="L456" i="4"/>
  <c r="K456" i="4"/>
  <c r="J456" i="4"/>
  <c r="D456" i="4"/>
  <c r="C456" i="4"/>
  <c r="M455" i="4"/>
  <c r="L455" i="4"/>
  <c r="K455" i="4"/>
  <c r="J455" i="4"/>
  <c r="D455" i="4"/>
  <c r="C455" i="4"/>
  <c r="M454" i="4"/>
  <c r="L454" i="4"/>
  <c r="K454" i="4"/>
  <c r="J454" i="4"/>
  <c r="D454" i="4"/>
  <c r="C454" i="4"/>
  <c r="M453" i="4"/>
  <c r="L453" i="4"/>
  <c r="K453" i="4"/>
  <c r="J453" i="4"/>
  <c r="D453" i="4"/>
  <c r="C453" i="4"/>
  <c r="M452" i="4"/>
  <c r="L452" i="4"/>
  <c r="K452" i="4"/>
  <c r="J452" i="4"/>
  <c r="D452" i="4"/>
  <c r="C452" i="4"/>
  <c r="M451" i="4"/>
  <c r="L451" i="4"/>
  <c r="K451" i="4"/>
  <c r="J451" i="4"/>
  <c r="D451" i="4"/>
  <c r="C451" i="4"/>
  <c r="M450" i="4"/>
  <c r="L450" i="4"/>
  <c r="K450" i="4"/>
  <c r="J450" i="4"/>
  <c r="D450" i="4"/>
  <c r="C450" i="4"/>
  <c r="M449" i="4"/>
  <c r="L449" i="4"/>
  <c r="K449" i="4"/>
  <c r="J449" i="4"/>
  <c r="D449" i="4"/>
  <c r="C449" i="4"/>
  <c r="M448" i="4"/>
  <c r="L448" i="4"/>
  <c r="K448" i="4"/>
  <c r="J448" i="4"/>
  <c r="D448" i="4"/>
  <c r="C448" i="4"/>
  <c r="M447" i="4"/>
  <c r="L447" i="4"/>
  <c r="K447" i="4"/>
  <c r="J447" i="4"/>
  <c r="D447" i="4"/>
  <c r="C447" i="4"/>
  <c r="M446" i="4"/>
  <c r="L446" i="4"/>
  <c r="K446" i="4"/>
  <c r="J446" i="4"/>
  <c r="D446" i="4"/>
  <c r="C446" i="4"/>
  <c r="M445" i="4"/>
  <c r="L445" i="4"/>
  <c r="K445" i="4"/>
  <c r="J445" i="4"/>
  <c r="D445" i="4"/>
  <c r="C445" i="4"/>
  <c r="M444" i="4"/>
  <c r="L444" i="4"/>
  <c r="K444" i="4"/>
  <c r="J444" i="4"/>
  <c r="D444" i="4"/>
  <c r="C444" i="4"/>
  <c r="M443" i="4"/>
  <c r="L443" i="4"/>
  <c r="K443" i="4"/>
  <c r="J443" i="4"/>
  <c r="D443" i="4"/>
  <c r="C443" i="4"/>
  <c r="M442" i="4"/>
  <c r="L442" i="4"/>
  <c r="K442" i="4"/>
  <c r="J442" i="4"/>
  <c r="D442" i="4"/>
  <c r="C442" i="4"/>
  <c r="M441" i="4"/>
  <c r="L441" i="4"/>
  <c r="K441" i="4"/>
  <c r="J441" i="4"/>
  <c r="D441" i="4"/>
  <c r="C441" i="4"/>
  <c r="M440" i="4"/>
  <c r="L440" i="4"/>
  <c r="K440" i="4"/>
  <c r="J440" i="4"/>
  <c r="D440" i="4"/>
  <c r="C440" i="4"/>
  <c r="M439" i="4"/>
  <c r="L439" i="4"/>
  <c r="K439" i="4"/>
  <c r="J439" i="4"/>
  <c r="D439" i="4"/>
  <c r="C439" i="4"/>
  <c r="M438" i="4"/>
  <c r="L438" i="4"/>
  <c r="K438" i="4"/>
  <c r="J438" i="4"/>
  <c r="D438" i="4"/>
  <c r="C438" i="4"/>
  <c r="M437" i="4"/>
  <c r="L437" i="4"/>
  <c r="K437" i="4"/>
  <c r="J437" i="4"/>
  <c r="D437" i="4"/>
  <c r="C437" i="4"/>
  <c r="M436" i="4"/>
  <c r="L436" i="4"/>
  <c r="K436" i="4"/>
  <c r="J436" i="4"/>
  <c r="D436" i="4"/>
  <c r="C436" i="4"/>
  <c r="M435" i="4"/>
  <c r="L435" i="4"/>
  <c r="K435" i="4"/>
  <c r="J435" i="4"/>
  <c r="D435" i="4"/>
  <c r="C435" i="4"/>
  <c r="M434" i="4"/>
  <c r="L434" i="4"/>
  <c r="K434" i="4"/>
  <c r="J434" i="4"/>
  <c r="D434" i="4"/>
  <c r="C434" i="4"/>
  <c r="M433" i="4"/>
  <c r="L433" i="4"/>
  <c r="K433" i="4"/>
  <c r="J433" i="4"/>
  <c r="D433" i="4"/>
  <c r="C433" i="4"/>
  <c r="M432" i="4"/>
  <c r="L432" i="4"/>
  <c r="K432" i="4"/>
  <c r="J432" i="4"/>
  <c r="D432" i="4"/>
  <c r="C432" i="4"/>
  <c r="M431" i="4"/>
  <c r="L431" i="4"/>
  <c r="K431" i="4"/>
  <c r="J431" i="4"/>
  <c r="D431" i="4"/>
  <c r="C431" i="4"/>
  <c r="M430" i="4"/>
  <c r="L430" i="4"/>
  <c r="K430" i="4"/>
  <c r="J430" i="4"/>
  <c r="D430" i="4"/>
  <c r="C430" i="4"/>
  <c r="M429" i="4"/>
  <c r="L429" i="4"/>
  <c r="K429" i="4"/>
  <c r="J429" i="4"/>
  <c r="D429" i="4"/>
  <c r="C429" i="4"/>
  <c r="M428" i="4"/>
  <c r="L428" i="4"/>
  <c r="K428" i="4"/>
  <c r="J428" i="4"/>
  <c r="D428" i="4"/>
  <c r="C428" i="4"/>
  <c r="M427" i="4"/>
  <c r="L427" i="4"/>
  <c r="K427" i="4"/>
  <c r="J427" i="4"/>
  <c r="D427" i="4"/>
  <c r="C427" i="4"/>
  <c r="M426" i="4"/>
  <c r="L426" i="4"/>
  <c r="K426" i="4"/>
  <c r="J426" i="4"/>
  <c r="D426" i="4"/>
  <c r="C426" i="4"/>
  <c r="M425" i="4"/>
  <c r="L425" i="4"/>
  <c r="K425" i="4"/>
  <c r="J425" i="4"/>
  <c r="D425" i="4"/>
  <c r="C425" i="4"/>
  <c r="M424" i="4"/>
  <c r="L424" i="4"/>
  <c r="K424" i="4"/>
  <c r="J424" i="4"/>
  <c r="D424" i="4"/>
  <c r="C424" i="4"/>
  <c r="M423" i="4"/>
  <c r="L423" i="4"/>
  <c r="K423" i="4"/>
  <c r="J423" i="4"/>
  <c r="D423" i="4"/>
  <c r="C423" i="4"/>
  <c r="M422" i="4"/>
  <c r="L422" i="4"/>
  <c r="K422" i="4"/>
  <c r="J422" i="4"/>
  <c r="D422" i="4"/>
  <c r="C422" i="4"/>
  <c r="M421" i="4"/>
  <c r="L421" i="4"/>
  <c r="K421" i="4"/>
  <c r="J421" i="4"/>
  <c r="D421" i="4"/>
  <c r="C421" i="4"/>
  <c r="M420" i="4"/>
  <c r="L420" i="4"/>
  <c r="K420" i="4"/>
  <c r="J420" i="4"/>
  <c r="D420" i="4"/>
  <c r="C420" i="4"/>
  <c r="M419" i="4"/>
  <c r="L419" i="4"/>
  <c r="K419" i="4"/>
  <c r="J419" i="4"/>
  <c r="D419" i="4"/>
  <c r="C419" i="4"/>
  <c r="M418" i="4"/>
  <c r="L418" i="4"/>
  <c r="K418" i="4"/>
  <c r="J418" i="4"/>
  <c r="D418" i="4"/>
  <c r="C418" i="4"/>
  <c r="M417" i="4"/>
  <c r="L417" i="4"/>
  <c r="K417" i="4"/>
  <c r="J417" i="4"/>
  <c r="D417" i="4"/>
  <c r="C417" i="4"/>
  <c r="M416" i="4"/>
  <c r="L416" i="4"/>
  <c r="K416" i="4"/>
  <c r="J416" i="4"/>
  <c r="D416" i="4"/>
  <c r="C416" i="4"/>
  <c r="M415" i="4"/>
  <c r="L415" i="4"/>
  <c r="K415" i="4"/>
  <c r="J415" i="4"/>
  <c r="D415" i="4"/>
  <c r="C415" i="4"/>
  <c r="M414" i="4"/>
  <c r="L414" i="4"/>
  <c r="K414" i="4"/>
  <c r="J414" i="4"/>
  <c r="D414" i="4"/>
  <c r="C414" i="4"/>
  <c r="M413" i="4"/>
  <c r="L413" i="4"/>
  <c r="K413" i="4"/>
  <c r="J413" i="4"/>
  <c r="D413" i="4"/>
  <c r="C413" i="4"/>
  <c r="M412" i="4"/>
  <c r="L412" i="4"/>
  <c r="K412" i="4"/>
  <c r="J412" i="4"/>
  <c r="D412" i="4"/>
  <c r="C412" i="4"/>
  <c r="M411" i="4"/>
  <c r="L411" i="4"/>
  <c r="K411" i="4"/>
  <c r="J411" i="4"/>
  <c r="D411" i="4"/>
  <c r="C411" i="4"/>
  <c r="M410" i="4"/>
  <c r="L410" i="4"/>
  <c r="K410" i="4"/>
  <c r="J410" i="4"/>
  <c r="D410" i="4"/>
  <c r="C410" i="4"/>
  <c r="M409" i="4"/>
  <c r="L409" i="4"/>
  <c r="K409" i="4"/>
  <c r="J409" i="4"/>
  <c r="D409" i="4"/>
  <c r="C409" i="4"/>
  <c r="M408" i="4"/>
  <c r="L408" i="4"/>
  <c r="K408" i="4"/>
  <c r="J408" i="4"/>
  <c r="D408" i="4"/>
  <c r="C408" i="4"/>
  <c r="M407" i="4"/>
  <c r="L407" i="4"/>
  <c r="K407" i="4"/>
  <c r="J407" i="4"/>
  <c r="D407" i="4"/>
  <c r="C407" i="4"/>
  <c r="M406" i="4"/>
  <c r="L406" i="4"/>
  <c r="K406" i="4"/>
  <c r="J406" i="4"/>
  <c r="D406" i="4"/>
  <c r="C406" i="4"/>
  <c r="M405" i="4"/>
  <c r="L405" i="4"/>
  <c r="K405" i="4"/>
  <c r="J405" i="4"/>
  <c r="D405" i="4"/>
  <c r="C405" i="4"/>
  <c r="M404" i="4"/>
  <c r="L404" i="4"/>
  <c r="K404" i="4"/>
  <c r="J404" i="4"/>
  <c r="D404" i="4"/>
  <c r="C404" i="4"/>
  <c r="M403" i="4"/>
  <c r="L403" i="4"/>
  <c r="K403" i="4"/>
  <c r="J403" i="4"/>
  <c r="D403" i="4"/>
  <c r="C403" i="4"/>
  <c r="M402" i="4"/>
  <c r="L402" i="4"/>
  <c r="K402" i="4"/>
  <c r="J402" i="4"/>
  <c r="D402" i="4"/>
  <c r="C402" i="4"/>
  <c r="M401" i="4"/>
  <c r="L401" i="4"/>
  <c r="K401" i="4"/>
  <c r="J401" i="4"/>
  <c r="D401" i="4"/>
  <c r="C401" i="4"/>
  <c r="M400" i="4"/>
  <c r="L400" i="4"/>
  <c r="K400" i="4"/>
  <c r="J400" i="4"/>
  <c r="D400" i="4"/>
  <c r="C400" i="4"/>
  <c r="M399" i="4"/>
  <c r="L399" i="4"/>
  <c r="K399" i="4"/>
  <c r="J399" i="4"/>
  <c r="D399" i="4"/>
  <c r="C399" i="4"/>
  <c r="M398" i="4"/>
  <c r="L398" i="4"/>
  <c r="K398" i="4"/>
  <c r="J398" i="4"/>
  <c r="D398" i="4"/>
  <c r="C398" i="4"/>
  <c r="M397" i="4"/>
  <c r="L397" i="4"/>
  <c r="K397" i="4"/>
  <c r="J397" i="4"/>
  <c r="D397" i="4"/>
  <c r="C397" i="4"/>
  <c r="M396" i="4"/>
  <c r="L396" i="4"/>
  <c r="K396" i="4"/>
  <c r="J396" i="4"/>
  <c r="D396" i="4"/>
  <c r="C396" i="4"/>
  <c r="M395" i="4"/>
  <c r="L395" i="4"/>
  <c r="K395" i="4"/>
  <c r="J395" i="4"/>
  <c r="D395" i="4"/>
  <c r="C395" i="4"/>
  <c r="M394" i="4"/>
  <c r="L394" i="4"/>
  <c r="K394" i="4"/>
  <c r="J394" i="4"/>
  <c r="D394" i="4"/>
  <c r="C394" i="4"/>
  <c r="M393" i="4"/>
  <c r="L393" i="4"/>
  <c r="K393" i="4"/>
  <c r="J393" i="4"/>
  <c r="D393" i="4"/>
  <c r="C393" i="4"/>
  <c r="M392" i="4"/>
  <c r="L392" i="4"/>
  <c r="K392" i="4"/>
  <c r="J392" i="4"/>
  <c r="D392" i="4"/>
  <c r="C392" i="4"/>
  <c r="M391" i="4"/>
  <c r="L391" i="4"/>
  <c r="K391" i="4"/>
  <c r="J391" i="4"/>
  <c r="D391" i="4"/>
  <c r="C391" i="4"/>
  <c r="M390" i="4"/>
  <c r="L390" i="4"/>
  <c r="K390" i="4"/>
  <c r="J390" i="4"/>
  <c r="D390" i="4"/>
  <c r="C390" i="4"/>
  <c r="M389" i="4"/>
  <c r="L389" i="4"/>
  <c r="K389" i="4"/>
  <c r="J389" i="4"/>
  <c r="D389" i="4"/>
  <c r="C389" i="4"/>
  <c r="M388" i="4"/>
  <c r="L388" i="4"/>
  <c r="K388" i="4"/>
  <c r="J388" i="4"/>
  <c r="D388" i="4"/>
  <c r="C388" i="4"/>
  <c r="M387" i="4"/>
  <c r="L387" i="4"/>
  <c r="K387" i="4"/>
  <c r="J387" i="4"/>
  <c r="D387" i="4"/>
  <c r="C387" i="4"/>
  <c r="M386" i="4"/>
  <c r="L386" i="4"/>
  <c r="K386" i="4"/>
  <c r="J386" i="4"/>
  <c r="D386" i="4"/>
  <c r="C386" i="4"/>
  <c r="M385" i="4"/>
  <c r="L385" i="4"/>
  <c r="K385" i="4"/>
  <c r="J385" i="4"/>
  <c r="D385" i="4"/>
  <c r="C385" i="4"/>
  <c r="M384" i="4"/>
  <c r="L384" i="4"/>
  <c r="K384" i="4"/>
  <c r="J384" i="4"/>
  <c r="D384" i="4"/>
  <c r="C384" i="4"/>
  <c r="M383" i="4"/>
  <c r="L383" i="4"/>
  <c r="K383" i="4"/>
  <c r="J383" i="4"/>
  <c r="D383" i="4"/>
  <c r="C383" i="4"/>
  <c r="M382" i="4"/>
  <c r="L382" i="4"/>
  <c r="K382" i="4"/>
  <c r="J382" i="4"/>
  <c r="D382" i="4"/>
  <c r="C382" i="4"/>
  <c r="M381" i="4"/>
  <c r="L381" i="4"/>
  <c r="K381" i="4"/>
  <c r="J381" i="4"/>
  <c r="D381" i="4"/>
  <c r="C381" i="4"/>
  <c r="M380" i="4"/>
  <c r="L380" i="4"/>
  <c r="K380" i="4"/>
  <c r="J380" i="4"/>
  <c r="D380" i="4"/>
  <c r="C380" i="4"/>
  <c r="M379" i="4"/>
  <c r="L379" i="4"/>
  <c r="K379" i="4"/>
  <c r="J379" i="4"/>
  <c r="D379" i="4"/>
  <c r="C379" i="4"/>
  <c r="M378" i="4"/>
  <c r="L378" i="4"/>
  <c r="K378" i="4"/>
  <c r="J378" i="4"/>
  <c r="D378" i="4"/>
  <c r="C378" i="4"/>
  <c r="M377" i="4"/>
  <c r="L377" i="4"/>
  <c r="K377" i="4"/>
  <c r="J377" i="4"/>
  <c r="D377" i="4"/>
  <c r="C377" i="4"/>
  <c r="M376" i="4"/>
  <c r="L376" i="4"/>
  <c r="K376" i="4"/>
  <c r="J376" i="4"/>
  <c r="D376" i="4"/>
  <c r="C376" i="4"/>
  <c r="M375" i="4"/>
  <c r="L375" i="4"/>
  <c r="K375" i="4"/>
  <c r="J375" i="4"/>
  <c r="D375" i="4"/>
  <c r="C375" i="4"/>
  <c r="M374" i="4"/>
  <c r="L374" i="4"/>
  <c r="K374" i="4"/>
  <c r="J374" i="4"/>
  <c r="D374" i="4"/>
  <c r="C374" i="4"/>
  <c r="M373" i="4"/>
  <c r="L373" i="4"/>
  <c r="K373" i="4"/>
  <c r="J373" i="4"/>
  <c r="D373" i="4"/>
  <c r="C373" i="4"/>
  <c r="M372" i="4"/>
  <c r="L372" i="4"/>
  <c r="K372" i="4"/>
  <c r="J372" i="4"/>
  <c r="D372" i="4"/>
  <c r="C372" i="4"/>
  <c r="M371" i="4"/>
  <c r="L371" i="4"/>
  <c r="K371" i="4"/>
  <c r="J371" i="4"/>
  <c r="D371" i="4"/>
  <c r="C371" i="4"/>
  <c r="M370" i="4"/>
  <c r="L370" i="4"/>
  <c r="K370" i="4"/>
  <c r="J370" i="4"/>
  <c r="D370" i="4"/>
  <c r="C370" i="4"/>
  <c r="M369" i="4"/>
  <c r="L369" i="4"/>
  <c r="K369" i="4"/>
  <c r="J369" i="4"/>
  <c r="D369" i="4"/>
  <c r="C369" i="4"/>
  <c r="M368" i="4"/>
  <c r="L368" i="4"/>
  <c r="K368" i="4"/>
  <c r="J368" i="4"/>
  <c r="D368" i="4"/>
  <c r="C368" i="4"/>
  <c r="M367" i="4"/>
  <c r="L367" i="4"/>
  <c r="K367" i="4"/>
  <c r="J367" i="4"/>
  <c r="D367" i="4"/>
  <c r="C367" i="4"/>
  <c r="M366" i="4"/>
  <c r="L366" i="4"/>
  <c r="K366" i="4"/>
  <c r="J366" i="4"/>
  <c r="D366" i="4"/>
  <c r="C366" i="4"/>
  <c r="M365" i="4"/>
  <c r="L365" i="4"/>
  <c r="K365" i="4"/>
  <c r="J365" i="4"/>
  <c r="D365" i="4"/>
  <c r="C365" i="4"/>
  <c r="M364" i="4"/>
  <c r="L364" i="4"/>
  <c r="K364" i="4"/>
  <c r="J364" i="4"/>
  <c r="D364" i="4"/>
  <c r="C364" i="4"/>
  <c r="M363" i="4"/>
  <c r="L363" i="4"/>
  <c r="K363" i="4"/>
  <c r="J363" i="4"/>
  <c r="D363" i="4"/>
  <c r="C363" i="4"/>
  <c r="M362" i="4"/>
  <c r="L362" i="4"/>
  <c r="K362" i="4"/>
  <c r="J362" i="4"/>
  <c r="D362" i="4"/>
  <c r="C362" i="4"/>
  <c r="M361" i="4"/>
  <c r="L361" i="4"/>
  <c r="K361" i="4"/>
  <c r="J361" i="4"/>
  <c r="D361" i="4"/>
  <c r="C361" i="4"/>
  <c r="M360" i="4"/>
  <c r="L360" i="4"/>
  <c r="K360" i="4"/>
  <c r="J360" i="4"/>
  <c r="D360" i="4"/>
  <c r="C360" i="4"/>
  <c r="M359" i="4"/>
  <c r="L359" i="4"/>
  <c r="K359" i="4"/>
  <c r="J359" i="4"/>
  <c r="D359" i="4"/>
  <c r="C359" i="4"/>
  <c r="M358" i="4"/>
  <c r="L358" i="4"/>
  <c r="K358" i="4"/>
  <c r="J358" i="4"/>
  <c r="D358" i="4"/>
  <c r="C358" i="4"/>
  <c r="M357" i="4"/>
  <c r="L357" i="4"/>
  <c r="K357" i="4"/>
  <c r="J357" i="4"/>
  <c r="D357" i="4"/>
  <c r="C357" i="4"/>
  <c r="M356" i="4"/>
  <c r="L356" i="4"/>
  <c r="K356" i="4"/>
  <c r="J356" i="4"/>
  <c r="D356" i="4"/>
  <c r="C356" i="4"/>
  <c r="M355" i="4"/>
  <c r="L355" i="4"/>
  <c r="K355" i="4"/>
  <c r="J355" i="4"/>
  <c r="D355" i="4"/>
  <c r="C355" i="4"/>
  <c r="M354" i="4"/>
  <c r="L354" i="4"/>
  <c r="K354" i="4"/>
  <c r="J354" i="4"/>
  <c r="D354" i="4"/>
  <c r="C354" i="4"/>
  <c r="M353" i="4"/>
  <c r="L353" i="4"/>
  <c r="K353" i="4"/>
  <c r="J353" i="4"/>
  <c r="D353" i="4"/>
  <c r="C353" i="4"/>
  <c r="M352" i="4"/>
  <c r="L352" i="4"/>
  <c r="K352" i="4"/>
  <c r="J352" i="4"/>
  <c r="D352" i="4"/>
  <c r="C352" i="4"/>
  <c r="M351" i="4"/>
  <c r="L351" i="4"/>
  <c r="K351" i="4"/>
  <c r="J351" i="4"/>
  <c r="D351" i="4"/>
  <c r="C351" i="4"/>
  <c r="M350" i="4"/>
  <c r="L350" i="4"/>
  <c r="K350" i="4"/>
  <c r="J350" i="4"/>
  <c r="D350" i="4"/>
  <c r="C350" i="4"/>
  <c r="M349" i="4"/>
  <c r="L349" i="4"/>
  <c r="K349" i="4"/>
  <c r="J349" i="4"/>
  <c r="D349" i="4"/>
  <c r="C349" i="4"/>
  <c r="M348" i="4"/>
  <c r="L348" i="4"/>
  <c r="K348" i="4"/>
  <c r="J348" i="4"/>
  <c r="D348" i="4"/>
  <c r="C348" i="4"/>
  <c r="M347" i="4"/>
  <c r="L347" i="4"/>
  <c r="K347" i="4"/>
  <c r="J347" i="4"/>
  <c r="D347" i="4"/>
  <c r="C347" i="4"/>
  <c r="M346" i="4"/>
  <c r="L346" i="4"/>
  <c r="K346" i="4"/>
  <c r="J346" i="4"/>
  <c r="D346" i="4"/>
  <c r="C346" i="4"/>
  <c r="M345" i="4"/>
  <c r="L345" i="4"/>
  <c r="K345" i="4"/>
  <c r="J345" i="4"/>
  <c r="D345" i="4"/>
  <c r="C345" i="4"/>
  <c r="M344" i="4"/>
  <c r="L344" i="4"/>
  <c r="K344" i="4"/>
  <c r="J344" i="4"/>
  <c r="D344" i="4"/>
  <c r="C344" i="4"/>
  <c r="M343" i="4"/>
  <c r="L343" i="4"/>
  <c r="K343" i="4"/>
  <c r="J343" i="4"/>
  <c r="D343" i="4"/>
  <c r="C343" i="4"/>
  <c r="M342" i="4"/>
  <c r="L342" i="4"/>
  <c r="K342" i="4"/>
  <c r="J342" i="4"/>
  <c r="D342" i="4"/>
  <c r="C342" i="4"/>
  <c r="M341" i="4"/>
  <c r="L341" i="4"/>
  <c r="K341" i="4"/>
  <c r="J341" i="4"/>
  <c r="D341" i="4"/>
  <c r="C341" i="4"/>
  <c r="M340" i="4"/>
  <c r="L340" i="4"/>
  <c r="K340" i="4"/>
  <c r="J340" i="4"/>
  <c r="D340" i="4"/>
  <c r="C340" i="4"/>
  <c r="M339" i="4"/>
  <c r="L339" i="4"/>
  <c r="K339" i="4"/>
  <c r="J339" i="4"/>
  <c r="D339" i="4"/>
  <c r="C339" i="4"/>
  <c r="M338" i="4"/>
  <c r="L338" i="4"/>
  <c r="K338" i="4"/>
  <c r="J338" i="4"/>
  <c r="D338" i="4"/>
  <c r="C338" i="4"/>
  <c r="M337" i="4"/>
  <c r="L337" i="4"/>
  <c r="K337" i="4"/>
  <c r="J337" i="4"/>
  <c r="D337" i="4"/>
  <c r="C337" i="4"/>
  <c r="M336" i="4"/>
  <c r="L336" i="4"/>
  <c r="K336" i="4"/>
  <c r="J336" i="4"/>
  <c r="D336" i="4"/>
  <c r="C336" i="4"/>
  <c r="M335" i="4"/>
  <c r="L335" i="4"/>
  <c r="K335" i="4"/>
  <c r="J335" i="4"/>
  <c r="D335" i="4"/>
  <c r="C335" i="4"/>
  <c r="M334" i="4"/>
  <c r="L334" i="4"/>
  <c r="K334" i="4"/>
  <c r="J334" i="4"/>
  <c r="D334" i="4"/>
  <c r="C334" i="4"/>
  <c r="M333" i="4"/>
  <c r="L333" i="4"/>
  <c r="K333" i="4"/>
  <c r="J333" i="4"/>
  <c r="D333" i="4"/>
  <c r="C333" i="4"/>
  <c r="M332" i="4"/>
  <c r="L332" i="4"/>
  <c r="K332" i="4"/>
  <c r="J332" i="4"/>
  <c r="D332" i="4"/>
  <c r="C332" i="4"/>
  <c r="M331" i="4"/>
  <c r="L331" i="4"/>
  <c r="K331" i="4"/>
  <c r="J331" i="4"/>
  <c r="D331" i="4"/>
  <c r="C331" i="4"/>
  <c r="M330" i="4"/>
  <c r="L330" i="4"/>
  <c r="K330" i="4"/>
  <c r="J330" i="4"/>
  <c r="D330" i="4"/>
  <c r="C330" i="4"/>
  <c r="M329" i="4"/>
  <c r="L329" i="4"/>
  <c r="K329" i="4"/>
  <c r="J329" i="4"/>
  <c r="D329" i="4"/>
  <c r="C329" i="4"/>
  <c r="M328" i="4"/>
  <c r="L328" i="4"/>
  <c r="K328" i="4"/>
  <c r="J328" i="4"/>
  <c r="D328" i="4"/>
  <c r="C328" i="4"/>
  <c r="M327" i="4"/>
  <c r="L327" i="4"/>
  <c r="K327" i="4"/>
  <c r="J327" i="4"/>
  <c r="D327" i="4"/>
  <c r="C327" i="4"/>
  <c r="M326" i="4"/>
  <c r="L326" i="4"/>
  <c r="K326" i="4"/>
  <c r="J326" i="4"/>
  <c r="D326" i="4"/>
  <c r="C326" i="4"/>
  <c r="M325" i="4"/>
  <c r="L325" i="4"/>
  <c r="K325" i="4"/>
  <c r="J325" i="4"/>
  <c r="D325" i="4"/>
  <c r="C325" i="4"/>
  <c r="M324" i="4"/>
  <c r="L324" i="4"/>
  <c r="K324" i="4"/>
  <c r="J324" i="4"/>
  <c r="D324" i="4"/>
  <c r="C324" i="4"/>
  <c r="M323" i="4"/>
  <c r="L323" i="4"/>
  <c r="K323" i="4"/>
  <c r="J323" i="4"/>
  <c r="D323" i="4"/>
  <c r="C323" i="4"/>
  <c r="M322" i="4"/>
  <c r="L322" i="4"/>
  <c r="K322" i="4"/>
  <c r="J322" i="4"/>
  <c r="D322" i="4"/>
  <c r="C322" i="4"/>
  <c r="M321" i="4"/>
  <c r="L321" i="4"/>
  <c r="K321" i="4"/>
  <c r="J321" i="4"/>
  <c r="D321" i="4"/>
  <c r="C321" i="4"/>
  <c r="M320" i="4"/>
  <c r="L320" i="4"/>
  <c r="K320" i="4"/>
  <c r="J320" i="4"/>
  <c r="D320" i="4"/>
  <c r="C320" i="4"/>
  <c r="M319" i="4"/>
  <c r="L319" i="4"/>
  <c r="K319" i="4"/>
  <c r="J319" i="4"/>
  <c r="D319" i="4"/>
  <c r="C319" i="4"/>
  <c r="M318" i="4"/>
  <c r="L318" i="4"/>
  <c r="K318" i="4"/>
  <c r="J318" i="4"/>
  <c r="D318" i="4"/>
  <c r="C318" i="4"/>
  <c r="M317" i="4"/>
  <c r="L317" i="4"/>
  <c r="K317" i="4"/>
  <c r="J317" i="4"/>
  <c r="D317" i="4"/>
  <c r="C317" i="4"/>
  <c r="M316" i="4"/>
  <c r="L316" i="4"/>
  <c r="K316" i="4"/>
  <c r="J316" i="4"/>
  <c r="D316" i="4"/>
  <c r="C316" i="4"/>
  <c r="L315" i="4"/>
  <c r="K315" i="4"/>
  <c r="J315" i="4"/>
  <c r="D315" i="4"/>
  <c r="C315" i="4"/>
  <c r="L314" i="4"/>
  <c r="K314" i="4"/>
  <c r="M314" i="4" s="1"/>
  <c r="J314" i="4"/>
  <c r="D314" i="4"/>
  <c r="C314" i="4"/>
  <c r="L313" i="4"/>
  <c r="K313" i="4"/>
  <c r="M313" i="4" s="1"/>
  <c r="J313" i="4"/>
  <c r="D313" i="4"/>
  <c r="C313" i="4"/>
  <c r="L312" i="4"/>
  <c r="K312" i="4"/>
  <c r="J312" i="4"/>
  <c r="D312" i="4"/>
  <c r="C312" i="4"/>
  <c r="L311" i="4"/>
  <c r="K311" i="4"/>
  <c r="J311" i="4"/>
  <c r="D311" i="4"/>
  <c r="C311" i="4"/>
  <c r="L310" i="4"/>
  <c r="K310" i="4"/>
  <c r="M310" i="4" s="1"/>
  <c r="J310" i="4"/>
  <c r="D310" i="4"/>
  <c r="C310" i="4"/>
  <c r="L309" i="4"/>
  <c r="K309" i="4"/>
  <c r="M309" i="4" s="1"/>
  <c r="J309" i="4"/>
  <c r="D309" i="4"/>
  <c r="C309" i="4"/>
  <c r="L308" i="4"/>
  <c r="K308" i="4"/>
  <c r="J308" i="4"/>
  <c r="D308" i="4"/>
  <c r="C308" i="4"/>
  <c r="L307" i="4"/>
  <c r="K307" i="4"/>
  <c r="M307" i="4" s="1"/>
  <c r="J307" i="4"/>
  <c r="D307" i="4"/>
  <c r="C307" i="4"/>
  <c r="L306" i="4"/>
  <c r="K306" i="4"/>
  <c r="M306" i="4" s="1"/>
  <c r="J306" i="4"/>
  <c r="D306" i="4"/>
  <c r="C306" i="4"/>
  <c r="L305" i="4"/>
  <c r="K305" i="4"/>
  <c r="J305" i="4"/>
  <c r="D305" i="4"/>
  <c r="C305" i="4"/>
  <c r="L304" i="4"/>
  <c r="K304" i="4"/>
  <c r="J304" i="4"/>
  <c r="D304" i="4"/>
  <c r="C304" i="4"/>
  <c r="L303" i="4"/>
  <c r="K303" i="4"/>
  <c r="M303" i="4" s="1"/>
  <c r="J303" i="4"/>
  <c r="D303" i="4"/>
  <c r="C303" i="4"/>
  <c r="L302" i="4"/>
  <c r="K302" i="4"/>
  <c r="J302" i="4"/>
  <c r="D302" i="4"/>
  <c r="C302" i="4"/>
  <c r="L301" i="4"/>
  <c r="K301" i="4"/>
  <c r="M301" i="4" s="1"/>
  <c r="J301" i="4"/>
  <c r="D301" i="4"/>
  <c r="C301" i="4"/>
  <c r="L300" i="4"/>
  <c r="K300" i="4"/>
  <c r="J300" i="4"/>
  <c r="D300" i="4"/>
  <c r="C300" i="4"/>
  <c r="L299" i="4"/>
  <c r="K299" i="4"/>
  <c r="J299" i="4"/>
  <c r="D299" i="4"/>
  <c r="C299" i="4"/>
  <c r="L298" i="4"/>
  <c r="K298" i="4"/>
  <c r="M298" i="4" s="1"/>
  <c r="J298" i="4"/>
  <c r="D298" i="4"/>
  <c r="C298" i="4"/>
  <c r="L297" i="4"/>
  <c r="K297" i="4"/>
  <c r="J297" i="4"/>
  <c r="D297" i="4"/>
  <c r="C297" i="4"/>
  <c r="L296" i="4"/>
  <c r="K296" i="4"/>
  <c r="M296" i="4" s="1"/>
  <c r="J296" i="4"/>
  <c r="D296" i="4"/>
  <c r="C296" i="4"/>
  <c r="L295" i="4"/>
  <c r="K295" i="4"/>
  <c r="M295" i="4" s="1"/>
  <c r="J295" i="4"/>
  <c r="D295" i="4"/>
  <c r="C295" i="4"/>
  <c r="L294" i="4"/>
  <c r="K294" i="4"/>
  <c r="J294" i="4"/>
  <c r="D294" i="4"/>
  <c r="C294" i="4"/>
  <c r="L293" i="4"/>
  <c r="K293" i="4"/>
  <c r="J293" i="4"/>
  <c r="D293" i="4"/>
  <c r="C293" i="4"/>
  <c r="L292" i="4"/>
  <c r="K292" i="4"/>
  <c r="M292" i="4" s="1"/>
  <c r="J292" i="4"/>
  <c r="D292" i="4"/>
  <c r="C292" i="4"/>
  <c r="L291" i="4"/>
  <c r="K291" i="4"/>
  <c r="M291" i="4" s="1"/>
  <c r="J291" i="4"/>
  <c r="D291" i="4"/>
  <c r="C291" i="4"/>
  <c r="L290" i="4"/>
  <c r="K290" i="4"/>
  <c r="J290" i="4"/>
  <c r="D290" i="4"/>
  <c r="C290" i="4"/>
  <c r="L289" i="4"/>
  <c r="K289" i="4"/>
  <c r="M289" i="4" s="1"/>
  <c r="J289" i="4"/>
  <c r="D289" i="4"/>
  <c r="C289" i="4"/>
  <c r="L288" i="4"/>
  <c r="K288" i="4"/>
  <c r="J288" i="4"/>
  <c r="D288" i="4"/>
  <c r="C288" i="4"/>
  <c r="L287" i="4"/>
  <c r="K287" i="4"/>
  <c r="M287" i="4" s="1"/>
  <c r="J287" i="4"/>
  <c r="D287" i="4"/>
  <c r="C287" i="4"/>
  <c r="L286" i="4"/>
  <c r="K286" i="4"/>
  <c r="J286" i="4"/>
  <c r="D286" i="4"/>
  <c r="C286" i="4"/>
  <c r="L285" i="4"/>
  <c r="K285" i="4"/>
  <c r="M285" i="4" s="1"/>
  <c r="J285" i="4"/>
  <c r="D285" i="4"/>
  <c r="C285" i="4"/>
  <c r="L284" i="4"/>
  <c r="K284" i="4"/>
  <c r="M284" i="4" s="1"/>
  <c r="J284" i="4"/>
  <c r="D284" i="4"/>
  <c r="C284" i="4"/>
  <c r="L283" i="4"/>
  <c r="K283" i="4"/>
  <c r="J283" i="4"/>
  <c r="D283" i="4"/>
  <c r="C283" i="4"/>
  <c r="L282" i="4"/>
  <c r="K282" i="4"/>
  <c r="M282" i="4" s="1"/>
  <c r="J282" i="4"/>
  <c r="D282" i="4"/>
  <c r="C282" i="4"/>
  <c r="L281" i="4"/>
  <c r="K281" i="4"/>
  <c r="M281" i="4" s="1"/>
  <c r="J281" i="4"/>
  <c r="D281" i="4"/>
  <c r="C281" i="4"/>
  <c r="L280" i="4"/>
  <c r="K280" i="4"/>
  <c r="M280" i="4" s="1"/>
  <c r="J280" i="4"/>
  <c r="D280" i="4"/>
  <c r="C280" i="4"/>
  <c r="L279" i="4"/>
  <c r="K279" i="4"/>
  <c r="J279" i="4"/>
  <c r="D279" i="4"/>
  <c r="C279" i="4"/>
  <c r="L278" i="4"/>
  <c r="K278" i="4"/>
  <c r="M278" i="4" s="1"/>
  <c r="J278" i="4"/>
  <c r="D278" i="4"/>
  <c r="C278" i="4"/>
  <c r="L277" i="4"/>
  <c r="K277" i="4"/>
  <c r="J277" i="4"/>
  <c r="D277" i="4"/>
  <c r="C277" i="4"/>
  <c r="L276" i="4"/>
  <c r="K276" i="4"/>
  <c r="M276" i="4" s="1"/>
  <c r="J276" i="4"/>
  <c r="D276" i="4"/>
  <c r="C276" i="4"/>
  <c r="L275" i="4"/>
  <c r="K275" i="4"/>
  <c r="M275" i="4" s="1"/>
  <c r="J275" i="4"/>
  <c r="D275" i="4"/>
  <c r="C275" i="4"/>
  <c r="L274" i="4"/>
  <c r="K274" i="4"/>
  <c r="J274" i="4"/>
  <c r="D274" i="4"/>
  <c r="C274" i="4"/>
  <c r="L273" i="4"/>
  <c r="K273" i="4"/>
  <c r="J273" i="4"/>
  <c r="D273" i="4"/>
  <c r="C273" i="4"/>
  <c r="L272" i="4"/>
  <c r="K272" i="4"/>
  <c r="J272" i="4"/>
  <c r="D272" i="4"/>
  <c r="C272" i="4"/>
  <c r="L271" i="4"/>
  <c r="K271" i="4"/>
  <c r="M271" i="4" s="1"/>
  <c r="J271" i="4"/>
  <c r="D271" i="4"/>
  <c r="C271" i="4"/>
  <c r="L270" i="4"/>
  <c r="K270" i="4"/>
  <c r="J270" i="4"/>
  <c r="D270" i="4"/>
  <c r="C270" i="4"/>
  <c r="L269" i="4"/>
  <c r="K269" i="4"/>
  <c r="M269" i="4" s="1"/>
  <c r="J269" i="4"/>
  <c r="D269" i="4"/>
  <c r="C269" i="4"/>
  <c r="L268" i="4"/>
  <c r="K268" i="4"/>
  <c r="M268" i="4" s="1"/>
  <c r="J268" i="4"/>
  <c r="D268" i="4"/>
  <c r="C268" i="4"/>
  <c r="L267" i="4"/>
  <c r="K267" i="4"/>
  <c r="J267" i="4"/>
  <c r="D267" i="4"/>
  <c r="C267" i="4"/>
  <c r="L266" i="4"/>
  <c r="K266" i="4"/>
  <c r="M266" i="4" s="1"/>
  <c r="J266" i="4"/>
  <c r="D266" i="4"/>
  <c r="C266" i="4"/>
  <c r="L265" i="4"/>
  <c r="K265" i="4"/>
  <c r="J265" i="4"/>
  <c r="D265" i="4"/>
  <c r="C265" i="4"/>
  <c r="L264" i="4"/>
  <c r="K264" i="4"/>
  <c r="M264" i="4" s="1"/>
  <c r="J264" i="4"/>
  <c r="D264" i="4"/>
  <c r="C264" i="4"/>
  <c r="L263" i="4"/>
  <c r="K263" i="4"/>
  <c r="M263" i="4" s="1"/>
  <c r="J263" i="4"/>
  <c r="D263" i="4"/>
  <c r="C263" i="4"/>
  <c r="L262" i="4"/>
  <c r="K262" i="4"/>
  <c r="M262" i="4" s="1"/>
  <c r="J262" i="4"/>
  <c r="D262" i="4"/>
  <c r="C262" i="4"/>
  <c r="L261" i="4"/>
  <c r="K261" i="4"/>
  <c r="J261" i="4"/>
  <c r="D261" i="4"/>
  <c r="C261" i="4"/>
  <c r="L260" i="4"/>
  <c r="K260" i="4"/>
  <c r="M260" i="4" s="1"/>
  <c r="J260" i="4"/>
  <c r="D260" i="4"/>
  <c r="C260" i="4"/>
  <c r="L259" i="4"/>
  <c r="K259" i="4"/>
  <c r="M259" i="4" s="1"/>
  <c r="J259" i="4"/>
  <c r="D259" i="4"/>
  <c r="C259" i="4"/>
  <c r="L258" i="4"/>
  <c r="K258" i="4"/>
  <c r="J258" i="4"/>
  <c r="D258" i="4"/>
  <c r="C258" i="4"/>
  <c r="L257" i="4"/>
  <c r="K257" i="4"/>
  <c r="M257" i="4" s="1"/>
  <c r="J257" i="4"/>
  <c r="D257" i="4"/>
  <c r="C257" i="4"/>
  <c r="L256" i="4"/>
  <c r="K256" i="4"/>
  <c r="J256" i="4"/>
  <c r="D256" i="4"/>
  <c r="C256" i="4"/>
  <c r="L255" i="4"/>
  <c r="K255" i="4"/>
  <c r="M255" i="4" s="1"/>
  <c r="J255" i="4"/>
  <c r="D255" i="4"/>
  <c r="C255" i="4"/>
  <c r="L254" i="4"/>
  <c r="K254" i="4"/>
  <c r="J254" i="4"/>
  <c r="D254" i="4"/>
  <c r="C254" i="4"/>
  <c r="L253" i="4"/>
  <c r="K253" i="4"/>
  <c r="M253" i="4" s="1"/>
  <c r="J253" i="4"/>
  <c r="D253" i="4"/>
  <c r="C253" i="4"/>
  <c r="L252" i="4"/>
  <c r="K252" i="4"/>
  <c r="M252" i="4" s="1"/>
  <c r="J252" i="4"/>
  <c r="D252" i="4"/>
  <c r="C252" i="4"/>
  <c r="L251" i="4"/>
  <c r="K251" i="4"/>
  <c r="J251" i="4"/>
  <c r="D251" i="4"/>
  <c r="C251" i="4"/>
  <c r="L250" i="4"/>
  <c r="K250" i="4"/>
  <c r="M250" i="4" s="1"/>
  <c r="J250" i="4"/>
  <c r="D250" i="4"/>
  <c r="C250" i="4"/>
  <c r="L249" i="4"/>
  <c r="K249" i="4"/>
  <c r="M249" i="4" s="1"/>
  <c r="J249" i="4"/>
  <c r="D249" i="4"/>
  <c r="C249" i="4"/>
  <c r="L248" i="4"/>
  <c r="K248" i="4"/>
  <c r="M248" i="4" s="1"/>
  <c r="J248" i="4"/>
  <c r="D248" i="4"/>
  <c r="C248" i="4"/>
  <c r="L247" i="4"/>
  <c r="K247" i="4"/>
  <c r="M247" i="4" s="1"/>
  <c r="J247" i="4"/>
  <c r="D247" i="4"/>
  <c r="C247" i="4"/>
  <c r="L246" i="4"/>
  <c r="K246" i="4"/>
  <c r="M246" i="4" s="1"/>
  <c r="J246" i="4"/>
  <c r="D246" i="4"/>
  <c r="C246" i="4"/>
  <c r="L245" i="4"/>
  <c r="K245" i="4"/>
  <c r="J245" i="4"/>
  <c r="D245" i="4"/>
  <c r="C245" i="4"/>
  <c r="L244" i="4"/>
  <c r="K244" i="4"/>
  <c r="M244" i="4" s="1"/>
  <c r="J244" i="4"/>
  <c r="D244" i="4"/>
  <c r="C244" i="4"/>
  <c r="L243" i="4"/>
  <c r="K243" i="4"/>
  <c r="M243" i="4" s="1"/>
  <c r="J243" i="4"/>
  <c r="D243" i="4"/>
  <c r="C243" i="4"/>
  <c r="L242" i="4"/>
  <c r="K242" i="4"/>
  <c r="J242" i="4"/>
  <c r="D242" i="4"/>
  <c r="C242" i="4"/>
  <c r="L241" i="4"/>
  <c r="K241" i="4"/>
  <c r="J241" i="4"/>
  <c r="D241" i="4"/>
  <c r="C241" i="4"/>
  <c r="L240" i="4"/>
  <c r="K240" i="4"/>
  <c r="J240" i="4"/>
  <c r="D240" i="4"/>
  <c r="C240" i="4"/>
  <c r="L239" i="4"/>
  <c r="K239" i="4"/>
  <c r="M239" i="4" s="1"/>
  <c r="J239" i="4"/>
  <c r="D239" i="4"/>
  <c r="C239" i="4"/>
  <c r="L238" i="4"/>
  <c r="K238" i="4"/>
  <c r="J238" i="4"/>
  <c r="D238" i="4"/>
  <c r="C238" i="4"/>
  <c r="L237" i="4"/>
  <c r="K237" i="4"/>
  <c r="M237" i="4" s="1"/>
  <c r="J237" i="4"/>
  <c r="D237" i="4"/>
  <c r="C237" i="4"/>
  <c r="L236" i="4"/>
  <c r="K236" i="4"/>
  <c r="M236" i="4" s="1"/>
  <c r="J236" i="4"/>
  <c r="D236" i="4"/>
  <c r="C236" i="4"/>
  <c r="L235" i="4"/>
  <c r="K235" i="4"/>
  <c r="J235" i="4"/>
  <c r="D235" i="4"/>
  <c r="C235" i="4"/>
  <c r="L234" i="4"/>
  <c r="K234" i="4"/>
  <c r="M234" i="4" s="1"/>
  <c r="J234" i="4"/>
  <c r="D234" i="4"/>
  <c r="C234" i="4"/>
  <c r="L233" i="4"/>
  <c r="K233" i="4"/>
  <c r="J233" i="4"/>
  <c r="D233" i="4"/>
  <c r="C233" i="4"/>
  <c r="L232" i="4"/>
  <c r="K232" i="4"/>
  <c r="J232" i="4"/>
  <c r="D232" i="4"/>
  <c r="C232" i="4"/>
  <c r="L231" i="4"/>
  <c r="K231" i="4"/>
  <c r="M231" i="4" s="1"/>
  <c r="J231" i="4"/>
  <c r="D231" i="4"/>
  <c r="C231" i="4"/>
  <c r="L230" i="4"/>
  <c r="K230" i="4"/>
  <c r="M230" i="4" s="1"/>
  <c r="J230" i="4"/>
  <c r="D230" i="4"/>
  <c r="C230" i="4"/>
  <c r="L229" i="4"/>
  <c r="K229" i="4"/>
  <c r="J229" i="4"/>
  <c r="D229" i="4"/>
  <c r="C229" i="4"/>
  <c r="L228" i="4"/>
  <c r="K228" i="4"/>
  <c r="M228" i="4" s="1"/>
  <c r="J228" i="4"/>
  <c r="D228" i="4"/>
  <c r="C228" i="4"/>
  <c r="L227" i="4"/>
  <c r="K227" i="4"/>
  <c r="J227" i="4"/>
  <c r="D227" i="4"/>
  <c r="C227" i="4"/>
  <c r="L226" i="4"/>
  <c r="K226" i="4"/>
  <c r="J226" i="4"/>
  <c r="D226" i="4"/>
  <c r="C226" i="4"/>
  <c r="L225" i="4"/>
  <c r="K225" i="4"/>
  <c r="J225" i="4"/>
  <c r="D225" i="4"/>
  <c r="C225" i="4"/>
  <c r="L224" i="4"/>
  <c r="K224" i="4"/>
  <c r="J224" i="4"/>
  <c r="D224" i="4"/>
  <c r="C224" i="4"/>
  <c r="L223" i="4"/>
  <c r="K223" i="4"/>
  <c r="J223" i="4"/>
  <c r="D223" i="4"/>
  <c r="C223" i="4"/>
  <c r="L222" i="4"/>
  <c r="K222" i="4"/>
  <c r="J222" i="4"/>
  <c r="D222" i="4"/>
  <c r="C222" i="4"/>
  <c r="L221" i="4"/>
  <c r="K221" i="4"/>
  <c r="J221" i="4"/>
  <c r="D221" i="4"/>
  <c r="C221" i="4"/>
  <c r="L220" i="4"/>
  <c r="K220" i="4"/>
  <c r="M220" i="4" s="1"/>
  <c r="J220" i="4"/>
  <c r="D220" i="4"/>
  <c r="C220" i="4"/>
  <c r="L219" i="4"/>
  <c r="K219" i="4"/>
  <c r="J219" i="4"/>
  <c r="D219" i="4"/>
  <c r="C219" i="4"/>
  <c r="L218" i="4"/>
  <c r="K218" i="4"/>
  <c r="M218" i="4" s="1"/>
  <c r="J218" i="4"/>
  <c r="D218" i="4"/>
  <c r="C218" i="4"/>
  <c r="L217" i="4"/>
  <c r="K217" i="4"/>
  <c r="M217" i="4" s="1"/>
  <c r="J217" i="4"/>
  <c r="D217" i="4"/>
  <c r="C217" i="4"/>
  <c r="L216" i="4"/>
  <c r="K216" i="4"/>
  <c r="J216" i="4"/>
  <c r="D216" i="4"/>
  <c r="C216" i="4"/>
  <c r="L215" i="4"/>
  <c r="K215" i="4"/>
  <c r="M215" i="4" s="1"/>
  <c r="J215" i="4"/>
  <c r="D215" i="4"/>
  <c r="C215" i="4"/>
  <c r="L214" i="4"/>
  <c r="K214" i="4"/>
  <c r="J214" i="4"/>
  <c r="D214" i="4"/>
  <c r="C214" i="4"/>
  <c r="L213" i="4"/>
  <c r="K213" i="4"/>
  <c r="M213" i="4" s="1"/>
  <c r="J213" i="4"/>
  <c r="D213" i="4"/>
  <c r="C213" i="4"/>
  <c r="L212" i="4"/>
  <c r="K212" i="4"/>
  <c r="J212" i="4"/>
  <c r="D212" i="4"/>
  <c r="C212" i="4"/>
  <c r="L211" i="4"/>
  <c r="K211" i="4"/>
  <c r="M211" i="4" s="1"/>
  <c r="J211" i="4"/>
  <c r="D211" i="4"/>
  <c r="C211" i="4"/>
  <c r="L210" i="4"/>
  <c r="K210" i="4"/>
  <c r="J210" i="4"/>
  <c r="D210" i="4"/>
  <c r="C210" i="4"/>
  <c r="L209" i="4"/>
  <c r="K209" i="4"/>
  <c r="J209" i="4"/>
  <c r="D209" i="4"/>
  <c r="C209" i="4"/>
  <c r="L208" i="4"/>
  <c r="K208" i="4"/>
  <c r="J208" i="4"/>
  <c r="D208" i="4"/>
  <c r="C208" i="4"/>
  <c r="L207" i="4"/>
  <c r="K207" i="4"/>
  <c r="J207" i="4"/>
  <c r="D207" i="4"/>
  <c r="C207" i="4"/>
  <c r="L206" i="4"/>
  <c r="K206" i="4"/>
  <c r="J206" i="4"/>
  <c r="D206" i="4"/>
  <c r="C206" i="4"/>
  <c r="L205" i="4"/>
  <c r="K205" i="4"/>
  <c r="M205" i="4" s="1"/>
  <c r="J205" i="4"/>
  <c r="D205" i="4"/>
  <c r="C205" i="4"/>
  <c r="L204" i="4"/>
  <c r="K204" i="4"/>
  <c r="M204" i="4" s="1"/>
  <c r="J204" i="4"/>
  <c r="D204" i="4"/>
  <c r="C204" i="4"/>
  <c r="L203" i="4"/>
  <c r="K203" i="4"/>
  <c r="J203" i="4"/>
  <c r="D203" i="4"/>
  <c r="C203" i="4"/>
  <c r="L202" i="4"/>
  <c r="K202" i="4"/>
  <c r="M202" i="4" s="1"/>
  <c r="J202" i="4"/>
  <c r="D202" i="4"/>
  <c r="C202" i="4"/>
  <c r="L201" i="4"/>
  <c r="K201" i="4"/>
  <c r="J201" i="4"/>
  <c r="D201" i="4"/>
  <c r="C201" i="4"/>
  <c r="L200" i="4"/>
  <c r="K200" i="4"/>
  <c r="J200" i="4"/>
  <c r="D200" i="4"/>
  <c r="C200" i="4"/>
  <c r="L199" i="4"/>
  <c r="K199" i="4"/>
  <c r="M199" i="4" s="1"/>
  <c r="J199" i="4"/>
  <c r="D199" i="4"/>
  <c r="C199" i="4"/>
  <c r="L198" i="4"/>
  <c r="K198" i="4"/>
  <c r="M198" i="4" s="1"/>
  <c r="J198" i="4"/>
  <c r="D198" i="4"/>
  <c r="C198" i="4"/>
  <c r="L197" i="4"/>
  <c r="K197" i="4"/>
  <c r="J197" i="4"/>
  <c r="D197" i="4"/>
  <c r="C197" i="4"/>
  <c r="L196" i="4"/>
  <c r="K196" i="4"/>
  <c r="M196" i="4" s="1"/>
  <c r="J196" i="4"/>
  <c r="D196" i="4"/>
  <c r="C196" i="4"/>
  <c r="L195" i="4"/>
  <c r="K195" i="4"/>
  <c r="M195" i="4" s="1"/>
  <c r="J195" i="4"/>
  <c r="D195" i="4"/>
  <c r="C195" i="4"/>
  <c r="L194" i="4"/>
  <c r="K194" i="4"/>
  <c r="J194" i="4"/>
  <c r="D194" i="4"/>
  <c r="C194" i="4"/>
  <c r="L193" i="4"/>
  <c r="K193" i="4"/>
  <c r="J193" i="4"/>
  <c r="D193" i="4"/>
  <c r="C193" i="4"/>
  <c r="L192" i="4"/>
  <c r="K192" i="4"/>
  <c r="J192" i="4"/>
  <c r="D192" i="4"/>
  <c r="C192" i="4"/>
  <c r="L191" i="4"/>
  <c r="K191" i="4"/>
  <c r="J191" i="4"/>
  <c r="D191" i="4"/>
  <c r="C191" i="4"/>
  <c r="L190" i="4"/>
  <c r="K190" i="4"/>
  <c r="J190" i="4"/>
  <c r="D190" i="4"/>
  <c r="C190" i="4"/>
  <c r="L189" i="4"/>
  <c r="K189" i="4"/>
  <c r="M189" i="4" s="1"/>
  <c r="J189" i="4"/>
  <c r="D189" i="4"/>
  <c r="C189" i="4"/>
  <c r="L188" i="4"/>
  <c r="K188" i="4"/>
  <c r="M188" i="4" s="1"/>
  <c r="J188" i="4"/>
  <c r="D188" i="4"/>
  <c r="C188" i="4"/>
  <c r="L187" i="4"/>
  <c r="K187" i="4"/>
  <c r="J187" i="4"/>
  <c r="D187" i="4"/>
  <c r="C187" i="4"/>
  <c r="L186" i="4"/>
  <c r="K186" i="4"/>
  <c r="M186" i="4" s="1"/>
  <c r="J186" i="4"/>
  <c r="D186" i="4"/>
  <c r="C186" i="4"/>
  <c r="L185" i="4"/>
  <c r="K185" i="4"/>
  <c r="M185" i="4" s="1"/>
  <c r="J185" i="4"/>
  <c r="D185" i="4"/>
  <c r="C185" i="4"/>
  <c r="L184" i="4"/>
  <c r="K184" i="4"/>
  <c r="J184" i="4"/>
  <c r="D184" i="4"/>
  <c r="C184" i="4"/>
  <c r="L183" i="4"/>
  <c r="K183" i="4"/>
  <c r="M183" i="4" s="1"/>
  <c r="J183" i="4"/>
  <c r="D183" i="4"/>
  <c r="C183" i="4"/>
  <c r="L182" i="4"/>
  <c r="K182" i="4"/>
  <c r="J182" i="4"/>
  <c r="D182" i="4"/>
  <c r="C182" i="4"/>
  <c r="L181" i="4"/>
  <c r="K181" i="4"/>
  <c r="M181" i="4" s="1"/>
  <c r="J181" i="4"/>
  <c r="D181" i="4"/>
  <c r="C181" i="4"/>
  <c r="L180" i="4"/>
  <c r="K180" i="4"/>
  <c r="M180" i="4" s="1"/>
  <c r="J180" i="4"/>
  <c r="D180" i="4"/>
  <c r="C180" i="4"/>
  <c r="L179" i="4"/>
  <c r="K179" i="4"/>
  <c r="M179" i="4" s="1"/>
  <c r="J179" i="4"/>
  <c r="D179" i="4"/>
  <c r="C179" i="4"/>
  <c r="L178" i="4"/>
  <c r="K178" i="4"/>
  <c r="J178" i="4"/>
  <c r="D178" i="4"/>
  <c r="C178" i="4"/>
  <c r="L177" i="4"/>
  <c r="K177" i="4"/>
  <c r="J177" i="4"/>
  <c r="D177" i="4"/>
  <c r="C177" i="4"/>
  <c r="L176" i="4"/>
  <c r="K176" i="4"/>
  <c r="J176" i="4"/>
  <c r="D176" i="4"/>
  <c r="C176" i="4"/>
  <c r="L175" i="4"/>
  <c r="K175" i="4"/>
  <c r="J175" i="4"/>
  <c r="D175" i="4"/>
  <c r="C175" i="4"/>
  <c r="L174" i="4"/>
  <c r="K174" i="4"/>
  <c r="J174" i="4"/>
  <c r="D174" i="4"/>
  <c r="C174" i="4"/>
  <c r="L173" i="4"/>
  <c r="K173" i="4"/>
  <c r="M173" i="4" s="1"/>
  <c r="J173" i="4"/>
  <c r="D173" i="4"/>
  <c r="C173" i="4"/>
  <c r="L172" i="4"/>
  <c r="K172" i="4"/>
  <c r="M172" i="4" s="1"/>
  <c r="J172" i="4"/>
  <c r="D172" i="4"/>
  <c r="C172" i="4"/>
  <c r="L171" i="4"/>
  <c r="K171" i="4"/>
  <c r="J171" i="4"/>
  <c r="D171" i="4"/>
  <c r="C171" i="4"/>
  <c r="L170" i="4"/>
  <c r="K170" i="4"/>
  <c r="M170" i="4" s="1"/>
  <c r="J170" i="4"/>
  <c r="D170" i="4"/>
  <c r="C170" i="4"/>
  <c r="L169" i="4"/>
  <c r="K169" i="4"/>
  <c r="M169" i="4" s="1"/>
  <c r="J169" i="4"/>
  <c r="D169" i="4"/>
  <c r="C169" i="4"/>
  <c r="L168" i="4"/>
  <c r="K168" i="4"/>
  <c r="J168" i="4"/>
  <c r="D168" i="4"/>
  <c r="C168" i="4"/>
  <c r="L167" i="4"/>
  <c r="K167" i="4"/>
  <c r="M167" i="4" s="1"/>
  <c r="J167" i="4"/>
  <c r="D167" i="4"/>
  <c r="C167" i="4"/>
  <c r="L166" i="4"/>
  <c r="K166" i="4"/>
  <c r="M166" i="4" s="1"/>
  <c r="J166" i="4"/>
  <c r="D166" i="4"/>
  <c r="C166" i="4"/>
  <c r="L165" i="4"/>
  <c r="K165" i="4"/>
  <c r="M165" i="4" s="1"/>
  <c r="J165" i="4"/>
  <c r="D165" i="4"/>
  <c r="C165" i="4"/>
  <c r="L164" i="4"/>
  <c r="K164" i="4"/>
  <c r="M164" i="4" s="1"/>
  <c r="J164" i="4"/>
  <c r="D164" i="4"/>
  <c r="C164" i="4"/>
  <c r="L163" i="4"/>
  <c r="K163" i="4"/>
  <c r="M163" i="4" s="1"/>
  <c r="J163" i="4"/>
  <c r="D163" i="4"/>
  <c r="C163" i="4"/>
  <c r="L162" i="4"/>
  <c r="K162" i="4"/>
  <c r="J162" i="4"/>
  <c r="D162" i="4"/>
  <c r="C162" i="4"/>
  <c r="L161" i="4"/>
  <c r="K161" i="4"/>
  <c r="J161" i="4"/>
  <c r="D161" i="4"/>
  <c r="C161" i="4"/>
  <c r="L160" i="4"/>
  <c r="K160" i="4"/>
  <c r="J160" i="4"/>
  <c r="D160" i="4"/>
  <c r="C160" i="4"/>
  <c r="L159" i="4"/>
  <c r="K159" i="4"/>
  <c r="J159" i="4"/>
  <c r="D159" i="4"/>
  <c r="C159" i="4"/>
  <c r="L158" i="4"/>
  <c r="K158" i="4"/>
  <c r="J158" i="4"/>
  <c r="D158" i="4"/>
  <c r="C158" i="4"/>
  <c r="L157" i="4"/>
  <c r="K157" i="4"/>
  <c r="M157" i="4" s="1"/>
  <c r="J157" i="4"/>
  <c r="D157" i="4"/>
  <c r="C157" i="4"/>
  <c r="L156" i="4"/>
  <c r="K156" i="4"/>
  <c r="M156" i="4" s="1"/>
  <c r="J156" i="4"/>
  <c r="D156" i="4"/>
  <c r="C156" i="4"/>
  <c r="L155" i="4"/>
  <c r="K155" i="4"/>
  <c r="J155" i="4"/>
  <c r="D155" i="4"/>
  <c r="C155" i="4"/>
  <c r="L154" i="4"/>
  <c r="K154" i="4"/>
  <c r="M154" i="4" s="1"/>
  <c r="J154" i="4"/>
  <c r="D154" i="4"/>
  <c r="C154" i="4"/>
  <c r="L153" i="4"/>
  <c r="K153" i="4"/>
  <c r="M153" i="4" s="1"/>
  <c r="J153" i="4"/>
  <c r="D153" i="4"/>
  <c r="C153" i="4"/>
  <c r="L152" i="4"/>
  <c r="K152" i="4"/>
  <c r="J152" i="4"/>
  <c r="D152" i="4"/>
  <c r="C152" i="4"/>
  <c r="L151" i="4"/>
  <c r="K151" i="4"/>
  <c r="M151" i="4" s="1"/>
  <c r="J151" i="4"/>
  <c r="D151" i="4"/>
  <c r="C151" i="4"/>
  <c r="L150" i="4"/>
  <c r="K150" i="4"/>
  <c r="M150" i="4" s="1"/>
  <c r="J150" i="4"/>
  <c r="D150" i="4"/>
  <c r="C150" i="4"/>
  <c r="L149" i="4"/>
  <c r="K149" i="4"/>
  <c r="M149" i="4" s="1"/>
  <c r="J149" i="4"/>
  <c r="D149" i="4"/>
  <c r="C149" i="4"/>
  <c r="L148" i="4"/>
  <c r="K148" i="4"/>
  <c r="M148" i="4" s="1"/>
  <c r="J148" i="4"/>
  <c r="D148" i="4"/>
  <c r="C148" i="4"/>
  <c r="L147" i="4"/>
  <c r="K147" i="4"/>
  <c r="M147" i="4" s="1"/>
  <c r="J147" i="4"/>
  <c r="D147" i="4"/>
  <c r="C147" i="4"/>
  <c r="L146" i="4"/>
  <c r="M146" i="4" s="1"/>
  <c r="K146" i="4"/>
  <c r="J146" i="4"/>
  <c r="D146" i="4"/>
  <c r="C146" i="4"/>
  <c r="L145" i="4"/>
  <c r="K145" i="4"/>
  <c r="M145" i="4" s="1"/>
  <c r="J145" i="4"/>
  <c r="D145" i="4"/>
  <c r="C145" i="4"/>
  <c r="L144" i="4"/>
  <c r="K144" i="4"/>
  <c r="J144" i="4"/>
  <c r="D144" i="4"/>
  <c r="C144" i="4"/>
  <c r="L143" i="4"/>
  <c r="K143" i="4"/>
  <c r="J143" i="4"/>
  <c r="D143" i="4"/>
  <c r="C143" i="4"/>
  <c r="L142" i="4"/>
  <c r="K142" i="4"/>
  <c r="J142" i="4"/>
  <c r="D142" i="4"/>
  <c r="C142" i="4"/>
  <c r="L141" i="4"/>
  <c r="K141" i="4"/>
  <c r="M141" i="4" s="1"/>
  <c r="J141" i="4"/>
  <c r="D141" i="4"/>
  <c r="C141" i="4"/>
  <c r="L140" i="4"/>
  <c r="K140" i="4"/>
  <c r="J140" i="4"/>
  <c r="D140" i="4"/>
  <c r="C140" i="4"/>
  <c r="L139" i="4"/>
  <c r="K139" i="4"/>
  <c r="J139" i="4"/>
  <c r="D139" i="4"/>
  <c r="C139" i="4"/>
  <c r="L138" i="4"/>
  <c r="K138" i="4"/>
  <c r="M138" i="4" s="1"/>
  <c r="J138" i="4"/>
  <c r="D138" i="4"/>
  <c r="C138" i="4"/>
  <c r="L137" i="4"/>
  <c r="K137" i="4"/>
  <c r="J137" i="4"/>
  <c r="D137" i="4"/>
  <c r="C137" i="4"/>
  <c r="L136" i="4"/>
  <c r="K136" i="4"/>
  <c r="J136" i="4"/>
  <c r="D136" i="4"/>
  <c r="C136" i="4"/>
  <c r="L135" i="4"/>
  <c r="K135" i="4"/>
  <c r="M135" i="4" s="1"/>
  <c r="J135" i="4"/>
  <c r="D135" i="4"/>
  <c r="C135" i="4"/>
  <c r="L134" i="4"/>
  <c r="K134" i="4"/>
  <c r="J134" i="4"/>
  <c r="D134" i="4"/>
  <c r="C134" i="4"/>
  <c r="L133" i="4"/>
  <c r="K133" i="4"/>
  <c r="M133" i="4" s="1"/>
  <c r="J133" i="4"/>
  <c r="D133" i="4"/>
  <c r="C133" i="4"/>
  <c r="L132" i="4"/>
  <c r="K132" i="4"/>
  <c r="M132" i="4" s="1"/>
  <c r="J132" i="4"/>
  <c r="D132" i="4"/>
  <c r="C132" i="4"/>
  <c r="L131" i="4"/>
  <c r="K131" i="4"/>
  <c r="J131" i="4"/>
  <c r="D131" i="4"/>
  <c r="C131" i="4"/>
  <c r="L130" i="4"/>
  <c r="K130" i="4"/>
  <c r="J130" i="4"/>
  <c r="D130" i="4"/>
  <c r="C130" i="4"/>
  <c r="L129" i="4"/>
  <c r="K129" i="4"/>
  <c r="J129" i="4"/>
  <c r="D129" i="4"/>
  <c r="C129" i="4"/>
  <c r="L128" i="4"/>
  <c r="K128" i="4"/>
  <c r="J128" i="4"/>
  <c r="D128" i="4"/>
  <c r="C128" i="4"/>
  <c r="L127" i="4"/>
  <c r="K127" i="4"/>
  <c r="J127" i="4"/>
  <c r="D127" i="4"/>
  <c r="C127" i="4"/>
  <c r="L126" i="4"/>
  <c r="K126" i="4"/>
  <c r="J126" i="4"/>
  <c r="D126" i="4"/>
  <c r="C126" i="4"/>
  <c r="L125" i="4"/>
  <c r="K125" i="4"/>
  <c r="J125" i="4"/>
  <c r="D125" i="4"/>
  <c r="C125" i="4"/>
  <c r="L124" i="4"/>
  <c r="K124" i="4"/>
  <c r="M124" i="4" s="1"/>
  <c r="J124" i="4"/>
  <c r="D124" i="4"/>
  <c r="C124" i="4"/>
  <c r="L123" i="4"/>
  <c r="K123" i="4"/>
  <c r="J123" i="4"/>
  <c r="D123" i="4"/>
  <c r="C123" i="4"/>
  <c r="L122" i="4"/>
  <c r="K122" i="4"/>
  <c r="M122" i="4" s="1"/>
  <c r="J122" i="4"/>
  <c r="D122" i="4"/>
  <c r="C122" i="4"/>
  <c r="L121" i="4"/>
  <c r="K121" i="4"/>
  <c r="M121" i="4" s="1"/>
  <c r="J121" i="4"/>
  <c r="D121" i="4"/>
  <c r="C121" i="4"/>
  <c r="L120" i="4"/>
  <c r="K120" i="4"/>
  <c r="J120" i="4"/>
  <c r="D120" i="4"/>
  <c r="C120" i="4"/>
  <c r="L119" i="4"/>
  <c r="K119" i="4"/>
  <c r="M119" i="4" s="1"/>
  <c r="J119" i="4"/>
  <c r="D119" i="4"/>
  <c r="C119" i="4"/>
  <c r="L118" i="4"/>
  <c r="K118" i="4"/>
  <c r="M118" i="4" s="1"/>
  <c r="J118" i="4"/>
  <c r="D118" i="4"/>
  <c r="C118" i="4"/>
  <c r="L117" i="4"/>
  <c r="K117" i="4"/>
  <c r="M117" i="4" s="1"/>
  <c r="J117" i="4"/>
  <c r="D117" i="4"/>
  <c r="C117" i="4"/>
  <c r="L116" i="4"/>
  <c r="K116" i="4"/>
  <c r="M116" i="4" s="1"/>
  <c r="J116" i="4"/>
  <c r="D116" i="4"/>
  <c r="C116" i="4"/>
  <c r="L115" i="4"/>
  <c r="K115" i="4"/>
  <c r="M115" i="4" s="1"/>
  <c r="J115" i="4"/>
  <c r="D115" i="4"/>
  <c r="C115" i="4"/>
  <c r="L114" i="4"/>
  <c r="K114" i="4"/>
  <c r="J114" i="4"/>
  <c r="D114" i="4"/>
  <c r="C114" i="4"/>
  <c r="L113" i="4"/>
  <c r="K113" i="4"/>
  <c r="J113" i="4"/>
  <c r="D113" i="4"/>
  <c r="C113" i="4"/>
  <c r="L112" i="4"/>
  <c r="K112" i="4"/>
  <c r="J112" i="4"/>
  <c r="D112" i="4"/>
  <c r="C112" i="4"/>
  <c r="L111" i="4"/>
  <c r="K111" i="4"/>
  <c r="J111" i="4"/>
  <c r="D111" i="4"/>
  <c r="C111" i="4"/>
  <c r="L110" i="4"/>
  <c r="K110" i="4"/>
  <c r="J110" i="4"/>
  <c r="D110" i="4"/>
  <c r="C110" i="4"/>
  <c r="L109" i="4"/>
  <c r="K109" i="4"/>
  <c r="M109" i="4" s="1"/>
  <c r="J109" i="4"/>
  <c r="D109" i="4"/>
  <c r="C109" i="4"/>
  <c r="L108" i="4"/>
  <c r="K108" i="4"/>
  <c r="M108" i="4" s="1"/>
  <c r="J108" i="4"/>
  <c r="D108" i="4"/>
  <c r="C108" i="4"/>
  <c r="L107" i="4"/>
  <c r="K107" i="4"/>
  <c r="J107" i="4"/>
  <c r="D107" i="4"/>
  <c r="C107" i="4"/>
  <c r="L106" i="4"/>
  <c r="K106" i="4"/>
  <c r="M106" i="4" s="1"/>
  <c r="J106" i="4"/>
  <c r="D106" i="4"/>
  <c r="C106" i="4"/>
  <c r="L105" i="4"/>
  <c r="K105" i="4"/>
  <c r="J105" i="4"/>
  <c r="D105" i="4"/>
  <c r="C105" i="4"/>
  <c r="L104" i="4"/>
  <c r="K104" i="4"/>
  <c r="J104" i="4"/>
  <c r="D104" i="4"/>
  <c r="C104" i="4"/>
  <c r="L103" i="4"/>
  <c r="K103" i="4"/>
  <c r="M103" i="4" s="1"/>
  <c r="J103" i="4"/>
  <c r="D103" i="4"/>
  <c r="C103" i="4"/>
  <c r="L102" i="4"/>
  <c r="K102" i="4"/>
  <c r="M102" i="4" s="1"/>
  <c r="J102" i="4"/>
  <c r="D102" i="4"/>
  <c r="C102" i="4"/>
  <c r="L101" i="4"/>
  <c r="K101" i="4"/>
  <c r="M101" i="4" s="1"/>
  <c r="J101" i="4"/>
  <c r="D101" i="4"/>
  <c r="C101" i="4"/>
  <c r="L100" i="4"/>
  <c r="K100" i="4"/>
  <c r="M100" i="4" s="1"/>
  <c r="J100" i="4"/>
  <c r="D100" i="4"/>
  <c r="C100" i="4"/>
  <c r="L99" i="4"/>
  <c r="K99" i="4"/>
  <c r="M99" i="4" s="1"/>
  <c r="J99" i="4"/>
  <c r="D99" i="4"/>
  <c r="C99" i="4"/>
  <c r="L98" i="4"/>
  <c r="K98" i="4"/>
  <c r="J98" i="4"/>
  <c r="D98" i="4"/>
  <c r="C98" i="4"/>
  <c r="L97" i="4"/>
  <c r="K97" i="4"/>
  <c r="J97" i="4"/>
  <c r="D97" i="4"/>
  <c r="C97" i="4"/>
  <c r="L96" i="4"/>
  <c r="K96" i="4"/>
  <c r="J96" i="4"/>
  <c r="D96" i="4"/>
  <c r="C96" i="4"/>
  <c r="L95" i="4"/>
  <c r="K95" i="4"/>
  <c r="J95" i="4"/>
  <c r="D95" i="4"/>
  <c r="C95" i="4"/>
  <c r="L94" i="4"/>
  <c r="K94" i="4"/>
  <c r="J94" i="4"/>
  <c r="D94" i="4"/>
  <c r="C94" i="4"/>
  <c r="L93" i="4"/>
  <c r="K93" i="4"/>
  <c r="M93" i="4" s="1"/>
  <c r="J93" i="4"/>
  <c r="D93" i="4"/>
  <c r="C93" i="4"/>
  <c r="L92" i="4"/>
  <c r="K92" i="4"/>
  <c r="M92" i="4" s="1"/>
  <c r="J92" i="4"/>
  <c r="D92" i="4"/>
  <c r="C92" i="4"/>
  <c r="L91" i="4"/>
  <c r="K91" i="4"/>
  <c r="J91" i="4"/>
  <c r="D91" i="4"/>
  <c r="C91" i="4"/>
  <c r="L90" i="4"/>
  <c r="K90" i="4"/>
  <c r="J90" i="4"/>
  <c r="D90" i="4"/>
  <c r="C90" i="4"/>
  <c r="L89" i="4"/>
  <c r="K89" i="4"/>
  <c r="M89" i="4" s="1"/>
  <c r="J89" i="4"/>
  <c r="D89" i="4"/>
  <c r="C89" i="4"/>
  <c r="L88" i="4"/>
  <c r="K88" i="4"/>
  <c r="J88" i="4"/>
  <c r="D88" i="4"/>
  <c r="C88" i="4"/>
  <c r="L87" i="4"/>
  <c r="K87" i="4"/>
  <c r="M87" i="4" s="1"/>
  <c r="J87" i="4"/>
  <c r="D87" i="4"/>
  <c r="C87" i="4"/>
  <c r="L86" i="4"/>
  <c r="K86" i="4"/>
  <c r="M86" i="4" s="1"/>
  <c r="J86" i="4"/>
  <c r="D86" i="4"/>
  <c r="C86" i="4"/>
  <c r="L85" i="4"/>
  <c r="K85" i="4"/>
  <c r="M85" i="4" s="1"/>
  <c r="J85" i="4"/>
  <c r="D85" i="4"/>
  <c r="C85" i="4"/>
  <c r="L84" i="4"/>
  <c r="K84" i="4"/>
  <c r="M84" i="4" s="1"/>
  <c r="J84" i="4"/>
  <c r="D84" i="4"/>
  <c r="C84" i="4"/>
  <c r="L83" i="4"/>
  <c r="K83" i="4"/>
  <c r="M83" i="4" s="1"/>
  <c r="J83" i="4"/>
  <c r="D83" i="4"/>
  <c r="C83" i="4"/>
  <c r="L82" i="4"/>
  <c r="K82" i="4"/>
  <c r="J82" i="4"/>
  <c r="D82" i="4"/>
  <c r="C82" i="4"/>
  <c r="L81" i="4"/>
  <c r="K81" i="4"/>
  <c r="J81" i="4"/>
  <c r="D81" i="4"/>
  <c r="C81" i="4"/>
  <c r="L80" i="4"/>
  <c r="K80" i="4"/>
  <c r="J80" i="4"/>
  <c r="D80" i="4"/>
  <c r="C80" i="4"/>
  <c r="L79" i="4"/>
  <c r="K79" i="4"/>
  <c r="J79" i="4"/>
  <c r="D79" i="4"/>
  <c r="C79" i="4"/>
  <c r="L78" i="4"/>
  <c r="K78" i="4"/>
  <c r="J78" i="4"/>
  <c r="D78" i="4"/>
  <c r="C78" i="4"/>
  <c r="L77" i="4"/>
  <c r="K77" i="4"/>
  <c r="M77" i="4" s="1"/>
  <c r="J77" i="4"/>
  <c r="D77" i="4"/>
  <c r="C77" i="4"/>
  <c r="L76" i="4"/>
  <c r="K76" i="4"/>
  <c r="M76" i="4" s="1"/>
  <c r="J76" i="4"/>
  <c r="D76" i="4"/>
  <c r="C76" i="4"/>
  <c r="L75" i="4"/>
  <c r="K75" i="4"/>
  <c r="J75" i="4"/>
  <c r="D75" i="4"/>
  <c r="C75" i="4"/>
  <c r="L74" i="4"/>
  <c r="K74" i="4"/>
  <c r="M74" i="4" s="1"/>
  <c r="J74" i="4"/>
  <c r="D74" i="4"/>
  <c r="C74" i="4"/>
  <c r="L73" i="4"/>
  <c r="K73" i="4"/>
  <c r="M73" i="4" s="1"/>
  <c r="J73" i="4"/>
  <c r="D73" i="4"/>
  <c r="C73" i="4"/>
  <c r="L72" i="4"/>
  <c r="K72" i="4"/>
  <c r="J72" i="4"/>
  <c r="D72" i="4"/>
  <c r="C72" i="4"/>
  <c r="L71" i="4"/>
  <c r="K71" i="4"/>
  <c r="M71" i="4" s="1"/>
  <c r="J71" i="4"/>
  <c r="D71" i="4"/>
  <c r="C71" i="4"/>
  <c r="L70" i="4"/>
  <c r="K70" i="4"/>
  <c r="M70" i="4" s="1"/>
  <c r="J70" i="4"/>
  <c r="D70" i="4"/>
  <c r="C70" i="4"/>
  <c r="L69" i="4"/>
  <c r="K69" i="4"/>
  <c r="M69" i="4" s="1"/>
  <c r="J69" i="4"/>
  <c r="D69" i="4"/>
  <c r="C69" i="4"/>
  <c r="L68" i="4"/>
  <c r="K68" i="4"/>
  <c r="M68" i="4" s="1"/>
  <c r="J68" i="4"/>
  <c r="D68" i="4"/>
  <c r="C68" i="4"/>
  <c r="L67" i="4"/>
  <c r="K67" i="4"/>
  <c r="M67" i="4" s="1"/>
  <c r="J67" i="4"/>
  <c r="D67" i="4"/>
  <c r="C67" i="4"/>
  <c r="L66" i="4"/>
  <c r="K66" i="4"/>
  <c r="J66" i="4"/>
  <c r="D66" i="4"/>
  <c r="C66" i="4"/>
  <c r="L65" i="4"/>
  <c r="K65" i="4"/>
  <c r="J65" i="4"/>
  <c r="D65" i="4"/>
  <c r="C65" i="4"/>
  <c r="L64" i="4"/>
  <c r="K64" i="4"/>
  <c r="J64" i="4"/>
  <c r="D64" i="4"/>
  <c r="C64" i="4"/>
  <c r="L63" i="4"/>
  <c r="K63" i="4"/>
  <c r="J63" i="4"/>
  <c r="D63" i="4"/>
  <c r="C63" i="4"/>
  <c r="L62" i="4"/>
  <c r="K62" i="4"/>
  <c r="J62" i="4"/>
  <c r="D62" i="4"/>
  <c r="C62" i="4"/>
  <c r="L61" i="4"/>
  <c r="K61" i="4"/>
  <c r="M61" i="4" s="1"/>
  <c r="J61" i="4"/>
  <c r="D61" i="4"/>
  <c r="C61" i="4"/>
  <c r="L60" i="4"/>
  <c r="K60" i="4"/>
  <c r="M60" i="4" s="1"/>
  <c r="J60" i="4"/>
  <c r="D60" i="4"/>
  <c r="C60" i="4"/>
  <c r="L59" i="4"/>
  <c r="M59" i="4" s="1"/>
  <c r="K59" i="4"/>
  <c r="J59" i="4"/>
  <c r="D59" i="4"/>
  <c r="C59" i="4"/>
  <c r="L58" i="4"/>
  <c r="K58" i="4"/>
  <c r="M58" i="4" s="1"/>
  <c r="J58" i="4"/>
  <c r="D58" i="4"/>
  <c r="C58" i="4"/>
  <c r="L57" i="4"/>
  <c r="K57" i="4"/>
  <c r="M57" i="4" s="1"/>
  <c r="J57" i="4"/>
  <c r="D57" i="4"/>
  <c r="C57" i="4"/>
  <c r="L56" i="4"/>
  <c r="M56" i="4" s="1"/>
  <c r="K56" i="4"/>
  <c r="J56" i="4"/>
  <c r="D56" i="4"/>
  <c r="C56" i="4"/>
  <c r="L55" i="4"/>
  <c r="K55" i="4"/>
  <c r="J55" i="4"/>
  <c r="D55" i="4"/>
  <c r="C55" i="4"/>
  <c r="L54" i="4"/>
  <c r="K54" i="4"/>
  <c r="M54" i="4" s="1"/>
  <c r="J54" i="4"/>
  <c r="D54" i="4"/>
  <c r="C54" i="4"/>
  <c r="L53" i="4"/>
  <c r="K53" i="4"/>
  <c r="J53" i="4"/>
  <c r="D53" i="4"/>
  <c r="C53" i="4"/>
  <c r="L52" i="4"/>
  <c r="K52" i="4"/>
  <c r="M52" i="4" s="1"/>
  <c r="J52" i="4"/>
  <c r="D52" i="4"/>
  <c r="C52" i="4"/>
  <c r="L51" i="4"/>
  <c r="K51" i="4"/>
  <c r="M51" i="4" s="1"/>
  <c r="J51" i="4"/>
  <c r="D51" i="4"/>
  <c r="C51" i="4"/>
  <c r="L50" i="4"/>
  <c r="K50" i="4"/>
  <c r="J50" i="4"/>
  <c r="D50" i="4"/>
  <c r="C50" i="4"/>
  <c r="L49" i="4"/>
  <c r="K49" i="4"/>
  <c r="M49" i="4" s="1"/>
  <c r="J49" i="4"/>
  <c r="D49" i="4"/>
  <c r="C49" i="4"/>
  <c r="L48" i="4"/>
  <c r="K48" i="4"/>
  <c r="M48" i="4" s="1"/>
  <c r="J48" i="4"/>
  <c r="D48" i="4"/>
  <c r="C48" i="4"/>
  <c r="L47" i="4"/>
  <c r="K47" i="4"/>
  <c r="M47" i="4" s="1"/>
  <c r="J47" i="4"/>
  <c r="D47" i="4"/>
  <c r="C47" i="4"/>
  <c r="L46" i="4"/>
  <c r="K46" i="4"/>
  <c r="J46" i="4"/>
  <c r="D46" i="4"/>
  <c r="C46" i="4"/>
  <c r="L45" i="4"/>
  <c r="K45" i="4"/>
  <c r="J45" i="4"/>
  <c r="D45" i="4"/>
  <c r="C45" i="4"/>
  <c r="L44" i="4"/>
  <c r="K44" i="4"/>
  <c r="J44" i="4"/>
  <c r="D44" i="4"/>
  <c r="C44" i="4"/>
  <c r="L43" i="4"/>
  <c r="K43" i="4"/>
  <c r="J43" i="4"/>
  <c r="D43" i="4"/>
  <c r="C43" i="4"/>
  <c r="L42" i="4"/>
  <c r="K42" i="4"/>
  <c r="M42" i="4" s="1"/>
  <c r="J42" i="4"/>
  <c r="D42" i="4"/>
  <c r="C42" i="4"/>
  <c r="L41" i="4"/>
  <c r="K41" i="4"/>
  <c r="J41" i="4"/>
  <c r="D41" i="4"/>
  <c r="C41" i="4"/>
  <c r="L40" i="4"/>
  <c r="K40" i="4"/>
  <c r="J40" i="4"/>
  <c r="D40" i="4"/>
  <c r="C40" i="4"/>
  <c r="L39" i="4"/>
  <c r="K39" i="4"/>
  <c r="M39" i="4" s="1"/>
  <c r="J39" i="4"/>
  <c r="D39" i="4"/>
  <c r="C39" i="4"/>
  <c r="L38" i="4"/>
  <c r="K38" i="4"/>
  <c r="J38" i="4"/>
  <c r="D38" i="4"/>
  <c r="C38" i="4"/>
  <c r="L37" i="4"/>
  <c r="K37" i="4"/>
  <c r="J37" i="4"/>
  <c r="D37" i="4"/>
  <c r="C37" i="4"/>
  <c r="L36" i="4"/>
  <c r="K36" i="4"/>
  <c r="M36" i="4" s="1"/>
  <c r="J36" i="4"/>
  <c r="D36" i="4"/>
  <c r="C36" i="4"/>
  <c r="L35" i="4"/>
  <c r="K35" i="4"/>
  <c r="J35" i="4"/>
  <c r="D35" i="4"/>
  <c r="C35" i="4"/>
  <c r="L34" i="4"/>
  <c r="K34" i="4"/>
  <c r="J34" i="4"/>
  <c r="D34" i="4"/>
  <c r="C34" i="4"/>
  <c r="L33" i="4"/>
  <c r="K33" i="4"/>
  <c r="M33" i="4" s="1"/>
  <c r="J33" i="4"/>
  <c r="D33" i="4"/>
  <c r="C33" i="4"/>
  <c r="L32" i="4"/>
  <c r="K32" i="4"/>
  <c r="M32" i="4" s="1"/>
  <c r="J32" i="4"/>
  <c r="D32" i="4"/>
  <c r="C32" i="4"/>
  <c r="L31" i="4"/>
  <c r="K31" i="4"/>
  <c r="J31" i="4"/>
  <c r="D31" i="4"/>
  <c r="C31" i="4"/>
  <c r="L30" i="4"/>
  <c r="K30" i="4"/>
  <c r="J30" i="4"/>
  <c r="D30" i="4"/>
  <c r="C30" i="4"/>
  <c r="L29" i="4"/>
  <c r="K29" i="4"/>
  <c r="J29" i="4"/>
  <c r="D29" i="4"/>
  <c r="C29" i="4"/>
  <c r="L28" i="4"/>
  <c r="K28" i="4"/>
  <c r="J28" i="4"/>
  <c r="D28" i="4"/>
  <c r="C28" i="4"/>
  <c r="L27" i="4"/>
  <c r="K27" i="4"/>
  <c r="J27" i="4"/>
  <c r="D27" i="4"/>
  <c r="C27" i="4"/>
  <c r="L26" i="4"/>
  <c r="K26" i="4"/>
  <c r="J26" i="4"/>
  <c r="D26" i="4"/>
  <c r="C26" i="4"/>
  <c r="L25" i="4"/>
  <c r="K25" i="4"/>
  <c r="J25" i="4"/>
  <c r="D25" i="4"/>
  <c r="C25" i="4"/>
  <c r="L24" i="4"/>
  <c r="K24" i="4"/>
  <c r="J24" i="4"/>
  <c r="D24" i="4"/>
  <c r="C24" i="4"/>
  <c r="L23" i="4"/>
  <c r="K23" i="4"/>
  <c r="M23" i="4" s="1"/>
  <c r="J23" i="4"/>
  <c r="D23" i="4"/>
  <c r="C23" i="4"/>
  <c r="L22" i="4"/>
  <c r="K22" i="4"/>
  <c r="J22" i="4"/>
  <c r="D22" i="4"/>
  <c r="C22" i="4"/>
  <c r="L21" i="4"/>
  <c r="K21" i="4"/>
  <c r="M21" i="4" s="1"/>
  <c r="J21" i="4"/>
  <c r="D21" i="4"/>
  <c r="C21" i="4"/>
  <c r="L20" i="4"/>
  <c r="K20" i="4"/>
  <c r="M20" i="4" s="1"/>
  <c r="J20" i="4"/>
  <c r="D20" i="4"/>
  <c r="C20" i="4"/>
  <c r="L19" i="4"/>
  <c r="K19" i="4"/>
  <c r="J19" i="4"/>
  <c r="D19" i="4"/>
  <c r="C19" i="4"/>
  <c r="L18" i="4"/>
  <c r="K18" i="4"/>
  <c r="J18" i="4"/>
  <c r="D18" i="4"/>
  <c r="C18" i="4"/>
  <c r="L17" i="4"/>
  <c r="K17" i="4"/>
  <c r="J17" i="4"/>
  <c r="D17" i="4"/>
  <c r="C17" i="4"/>
  <c r="L16" i="4"/>
  <c r="K16" i="4"/>
  <c r="J16" i="4"/>
  <c r="D16" i="4"/>
  <c r="C16" i="4"/>
  <c r="L15" i="4"/>
  <c r="K15" i="4"/>
  <c r="J15" i="4"/>
  <c r="D15" i="4"/>
  <c r="C15" i="4"/>
  <c r="L14" i="4"/>
  <c r="K14" i="4"/>
  <c r="J14" i="4"/>
  <c r="D14" i="4"/>
  <c r="C14" i="4"/>
  <c r="L13" i="4"/>
  <c r="K13" i="4"/>
  <c r="J13" i="4"/>
  <c r="D13" i="4"/>
  <c r="C13" i="4"/>
  <c r="L12" i="4"/>
  <c r="K12" i="4"/>
  <c r="M12" i="4" s="1"/>
  <c r="J12" i="4"/>
  <c r="D12" i="4"/>
  <c r="C12" i="4"/>
  <c r="L11" i="4"/>
  <c r="K11" i="4"/>
  <c r="J11" i="4"/>
  <c r="D11" i="4"/>
  <c r="C11" i="4"/>
  <c r="L10" i="4"/>
  <c r="K10" i="4"/>
  <c r="J10" i="4"/>
  <c r="D10" i="4"/>
  <c r="C10" i="4"/>
  <c r="L7" i="4"/>
  <c r="I7" i="4"/>
  <c r="E7" i="4"/>
  <c r="B7" i="4"/>
  <c r="I6" i="4"/>
  <c r="E6" i="4"/>
  <c r="B6" i="4"/>
  <c r="G109" i="3"/>
  <c r="E109" i="3"/>
  <c r="G108" i="3"/>
  <c r="E108" i="3"/>
  <c r="G107" i="3"/>
  <c r="E107" i="3"/>
  <c r="G106" i="3"/>
  <c r="E106" i="3"/>
  <c r="G105" i="3"/>
  <c r="E105" i="3"/>
  <c r="G104" i="3"/>
  <c r="E104" i="3"/>
  <c r="G103" i="3"/>
  <c r="E103" i="3"/>
  <c r="G102" i="3"/>
  <c r="E102" i="3"/>
  <c r="G101" i="3"/>
  <c r="E101" i="3"/>
  <c r="G100" i="3"/>
  <c r="E100" i="3"/>
  <c r="G99" i="3"/>
  <c r="E99" i="3"/>
  <c r="G98" i="3"/>
  <c r="E98" i="3"/>
  <c r="G97" i="3"/>
  <c r="E97" i="3"/>
  <c r="G96" i="3"/>
  <c r="E96" i="3"/>
  <c r="G95" i="3"/>
  <c r="E95" i="3"/>
  <c r="G94" i="3"/>
  <c r="E94" i="3"/>
  <c r="G93" i="3"/>
  <c r="E93" i="3"/>
  <c r="G92" i="3"/>
  <c r="E92" i="3"/>
  <c r="G91" i="3"/>
  <c r="E91" i="3"/>
  <c r="G90" i="3"/>
  <c r="E90" i="3"/>
  <c r="G89" i="3"/>
  <c r="E89" i="3"/>
  <c r="G88" i="3"/>
  <c r="E88" i="3"/>
  <c r="G87" i="3"/>
  <c r="E87" i="3"/>
  <c r="G86" i="3"/>
  <c r="E86" i="3"/>
  <c r="G85" i="3"/>
  <c r="E85" i="3"/>
  <c r="G84" i="3"/>
  <c r="E84" i="3"/>
  <c r="G83" i="3"/>
  <c r="E83" i="3"/>
  <c r="G82" i="3"/>
  <c r="E82" i="3"/>
  <c r="G81" i="3"/>
  <c r="E81" i="3"/>
  <c r="G80" i="3"/>
  <c r="E80" i="3"/>
  <c r="G79" i="3"/>
  <c r="E79" i="3"/>
  <c r="G78" i="3"/>
  <c r="E78" i="3"/>
  <c r="G77" i="3"/>
  <c r="E77" i="3"/>
  <c r="G76" i="3"/>
  <c r="E76" i="3"/>
  <c r="G75" i="3"/>
  <c r="E75" i="3"/>
  <c r="G74" i="3"/>
  <c r="E74" i="3"/>
  <c r="G73" i="3"/>
  <c r="E73" i="3"/>
  <c r="G72" i="3"/>
  <c r="E72" i="3"/>
  <c r="G71" i="3"/>
  <c r="E71" i="3"/>
  <c r="G70" i="3"/>
  <c r="E70" i="3"/>
  <c r="G69" i="3"/>
  <c r="E69" i="3"/>
  <c r="G68" i="3"/>
  <c r="E68" i="3"/>
  <c r="G67" i="3"/>
  <c r="E67" i="3"/>
  <c r="G66" i="3"/>
  <c r="E66" i="3"/>
  <c r="G65" i="3"/>
  <c r="E65" i="3"/>
  <c r="G64" i="3"/>
  <c r="E64" i="3"/>
  <c r="G63" i="3"/>
  <c r="E63" i="3"/>
  <c r="G62" i="3"/>
  <c r="E62" i="3"/>
  <c r="G61" i="3"/>
  <c r="E61" i="3"/>
  <c r="G60" i="3"/>
  <c r="E60" i="3"/>
  <c r="G59" i="3"/>
  <c r="E59" i="3"/>
  <c r="G58" i="3"/>
  <c r="E58" i="3"/>
  <c r="G57" i="3"/>
  <c r="E57" i="3"/>
  <c r="G56" i="3"/>
  <c r="E56" i="3"/>
  <c r="G55" i="3"/>
  <c r="E55" i="3"/>
  <c r="G54" i="3"/>
  <c r="E54" i="3"/>
  <c r="G53" i="3"/>
  <c r="E53" i="3"/>
  <c r="G52" i="3"/>
  <c r="E52" i="3"/>
  <c r="G51" i="3"/>
  <c r="E51" i="3"/>
  <c r="G50" i="3"/>
  <c r="E50" i="3"/>
  <c r="G49" i="3"/>
  <c r="E49" i="3"/>
  <c r="G48" i="3"/>
  <c r="E48" i="3"/>
  <c r="G47" i="3"/>
  <c r="E47" i="3"/>
  <c r="G46" i="3"/>
  <c r="E46" i="3"/>
  <c r="G45" i="3"/>
  <c r="E45" i="3"/>
  <c r="G44" i="3"/>
  <c r="E44" i="3"/>
  <c r="G43" i="3"/>
  <c r="E43" i="3"/>
  <c r="G42" i="3"/>
  <c r="E42" i="3"/>
  <c r="G41" i="3"/>
  <c r="E41" i="3"/>
  <c r="G40" i="3"/>
  <c r="E40" i="3"/>
  <c r="G39" i="3"/>
  <c r="E39" i="3"/>
  <c r="G38" i="3"/>
  <c r="E38" i="3"/>
  <c r="G37" i="3"/>
  <c r="E37" i="3"/>
  <c r="G36" i="3"/>
  <c r="E36" i="3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N7" i="3"/>
  <c r="J7" i="3"/>
  <c r="F7" i="3"/>
  <c r="B7" i="3"/>
  <c r="J6" i="3"/>
  <c r="F6" i="3"/>
  <c r="B6" i="3"/>
  <c r="I69" i="1"/>
  <c r="I68" i="1"/>
  <c r="E68" i="1"/>
  <c r="D68" i="1"/>
  <c r="C68" i="1"/>
  <c r="I67" i="1"/>
  <c r="E67" i="1"/>
  <c r="D67" i="1"/>
  <c r="C67" i="1"/>
  <c r="I66" i="1"/>
  <c r="E66" i="1"/>
  <c r="D66" i="1"/>
  <c r="C66" i="1"/>
  <c r="I65" i="1"/>
  <c r="E65" i="1"/>
  <c r="D65" i="1"/>
  <c r="C65" i="1"/>
  <c r="I64" i="1"/>
  <c r="E64" i="1"/>
  <c r="D64" i="1"/>
  <c r="C64" i="1"/>
  <c r="I63" i="1"/>
  <c r="E63" i="1"/>
  <c r="D63" i="1"/>
  <c r="C63" i="1"/>
  <c r="B45" i="1"/>
  <c r="T13" i="1"/>
  <c r="Q13" i="1"/>
  <c r="M13" i="1"/>
  <c r="I13" i="1"/>
  <c r="E13" i="1"/>
  <c r="B13" i="1"/>
  <c r="E12" i="1"/>
  <c r="B12" i="1"/>
  <c r="T9" i="1"/>
  <c r="P9" i="1"/>
  <c r="L9" i="1"/>
  <c r="I9" i="1"/>
  <c r="E9" i="1"/>
  <c r="B9" i="1"/>
  <c r="P8" i="1"/>
  <c r="L8" i="1"/>
  <c r="I8" i="1"/>
  <c r="E8" i="1"/>
  <c r="B8" i="1"/>
  <c r="S3" i="1"/>
  <c r="S2" i="1"/>
  <c r="S1" i="1"/>
  <c r="U48" i="1" l="1"/>
  <c r="M191" i="4"/>
  <c r="M31" i="4"/>
  <c r="M194" i="4"/>
  <c r="M143" i="4"/>
  <c r="M13" i="4"/>
  <c r="M29" i="4"/>
  <c r="M45" i="4"/>
  <c r="M80" i="4"/>
  <c r="M112" i="4"/>
  <c r="M144" i="4"/>
  <c r="M160" i="4"/>
  <c r="M176" i="4"/>
  <c r="M192" i="4"/>
  <c r="M208" i="4"/>
  <c r="M240" i="4"/>
  <c r="M256" i="4"/>
  <c r="M272" i="4"/>
  <c r="M288" i="4"/>
  <c r="M304" i="4"/>
  <c r="M14" i="4"/>
  <c r="M30" i="4"/>
  <c r="M46" i="4"/>
  <c r="M65" i="4"/>
  <c r="M97" i="4"/>
  <c r="M113" i="4"/>
  <c r="M161" i="4"/>
  <c r="M177" i="4"/>
  <c r="M193" i="4"/>
  <c r="M225" i="4"/>
  <c r="M37" i="4"/>
  <c r="M312" i="4"/>
  <c r="M11" i="4"/>
  <c r="M27" i="4"/>
  <c r="M43" i="4"/>
  <c r="M78" i="4"/>
  <c r="M94" i="4"/>
  <c r="M110" i="4"/>
  <c r="M126" i="4"/>
  <c r="M142" i="4"/>
  <c r="M158" i="4"/>
  <c r="M174" i="4"/>
  <c r="M190" i="4"/>
  <c r="M226" i="4"/>
  <c r="M24" i="4"/>
  <c r="M40" i="4"/>
  <c r="M279" i="4"/>
  <c r="M18" i="4"/>
  <c r="M62" i="4"/>
  <c r="M75" i="4"/>
  <c r="M91" i="4"/>
  <c r="M107" i="4"/>
  <c r="M123" i="4"/>
  <c r="M139" i="4"/>
  <c r="M155" i="4"/>
  <c r="M171" i="4"/>
  <c r="M187" i="4"/>
  <c r="M222" i="4"/>
  <c r="M238" i="4"/>
  <c r="M254" i="4"/>
  <c r="M270" i="4"/>
  <c r="M286" i="4"/>
  <c r="M302" i="4"/>
  <c r="M308" i="4"/>
  <c r="M311" i="4"/>
  <c r="M55" i="4"/>
  <c r="M15" i="4"/>
  <c r="M34" i="4"/>
  <c r="M72" i="4"/>
  <c r="M88" i="4"/>
  <c r="M104" i="4"/>
  <c r="M120" i="4"/>
  <c r="M136" i="4"/>
  <c r="M152" i="4"/>
  <c r="M168" i="4"/>
  <c r="M184" i="4"/>
  <c r="M216" i="4"/>
  <c r="M219" i="4"/>
  <c r="M251" i="4"/>
  <c r="M267" i="4"/>
  <c r="M283" i="4"/>
  <c r="M299" i="4"/>
  <c r="M223" i="4"/>
  <c r="M16" i="4"/>
  <c r="M64" i="4"/>
  <c r="M25" i="4"/>
  <c r="M66" i="4"/>
  <c r="M82" i="4"/>
  <c r="M98" i="4"/>
  <c r="M114" i="4"/>
  <c r="M130" i="4"/>
  <c r="M162" i="4"/>
  <c r="M178" i="4"/>
  <c r="M210" i="4"/>
  <c r="M245" i="4"/>
  <c r="M261" i="4"/>
  <c r="M277" i="4"/>
  <c r="M293" i="4"/>
  <c r="M63" i="4"/>
  <c r="M79" i="4"/>
  <c r="M95" i="4"/>
  <c r="M111" i="4"/>
  <c r="M127" i="4"/>
  <c r="M159" i="4"/>
  <c r="M175" i="4"/>
  <c r="M207" i="4"/>
  <c r="M242" i="4"/>
  <c r="M258" i="4"/>
  <c r="M274" i="4"/>
  <c r="M290" i="4"/>
  <c r="M19" i="4"/>
  <c r="M22" i="4"/>
  <c r="M28" i="4"/>
  <c r="M90" i="4"/>
  <c r="M96" i="4"/>
  <c r="M214" i="4"/>
  <c r="M229" i="4"/>
  <c r="M232" i="4"/>
  <c r="M235" i="4"/>
  <c r="M81" i="4"/>
  <c r="M105" i="4"/>
  <c r="M17" i="4"/>
  <c r="M26" i="4"/>
  <c r="M35" i="4"/>
  <c r="M38" i="4"/>
  <c r="M44" i="4"/>
  <c r="M50" i="4"/>
  <c r="M53" i="4"/>
  <c r="M206" i="4"/>
  <c r="M212" i="4"/>
  <c r="M221" i="4"/>
  <c r="M224" i="4"/>
  <c r="M227" i="4"/>
  <c r="M41" i="4"/>
  <c r="M125" i="4"/>
  <c r="M128" i="4"/>
  <c r="M131" i="4"/>
  <c r="M134" i="4"/>
  <c r="M137" i="4"/>
  <c r="M140" i="4"/>
  <c r="M182" i="4"/>
  <c r="M197" i="4"/>
  <c r="M200" i="4"/>
  <c r="M203" i="4"/>
  <c r="M294" i="4"/>
  <c r="M300" i="4"/>
  <c r="M315" i="4"/>
  <c r="Q12" i="1"/>
  <c r="E6" i="7"/>
  <c r="M79" i="9"/>
  <c r="N79" i="9" s="1"/>
  <c r="O79" i="9" s="1"/>
  <c r="M18" i="9"/>
  <c r="M154" i="9"/>
  <c r="M170" i="9"/>
  <c r="N170" i="9" s="1"/>
  <c r="O170" i="9" s="1"/>
  <c r="M111" i="9"/>
  <c r="N111" i="9" s="1"/>
  <c r="O111" i="9" s="1"/>
  <c r="M122" i="9"/>
  <c r="N122" i="9" s="1"/>
  <c r="O122" i="9" s="1"/>
  <c r="M39" i="9"/>
  <c r="N39" i="9" s="1"/>
  <c r="O39" i="9" s="1"/>
  <c r="M204" i="9"/>
  <c r="N204" i="9" s="1"/>
  <c r="O204" i="9" s="1"/>
  <c r="M175" i="9"/>
  <c r="N175" i="9" s="1"/>
  <c r="O175" i="9" s="1"/>
  <c r="M55" i="9"/>
  <c r="N55" i="9" s="1"/>
  <c r="O55" i="9" s="1"/>
  <c r="M66" i="9"/>
  <c r="N66" i="9" s="1"/>
  <c r="O66" i="9" s="1"/>
  <c r="M95" i="9"/>
  <c r="N95" i="9" s="1"/>
  <c r="O95" i="9" s="1"/>
  <c r="M186" i="9"/>
  <c r="N186" i="9" s="1"/>
  <c r="O186" i="9" s="1"/>
  <c r="M201" i="9"/>
  <c r="N201" i="9" s="1"/>
  <c r="O201" i="9" s="1"/>
  <c r="M106" i="9"/>
  <c r="N106" i="9" s="1"/>
  <c r="O106" i="9" s="1"/>
  <c r="M90" i="9"/>
  <c r="N90" i="9" s="1"/>
  <c r="O90" i="9" s="1"/>
  <c r="M159" i="9"/>
  <c r="N159" i="9" s="1"/>
  <c r="O159" i="9" s="1"/>
  <c r="M34" i="9"/>
  <c r="N34" i="9" s="1"/>
  <c r="O34" i="9" s="1"/>
  <c r="M143" i="9"/>
  <c r="N143" i="9" s="1"/>
  <c r="O143" i="9" s="1"/>
  <c r="M58" i="9"/>
  <c r="N58" i="9" s="1"/>
  <c r="O58" i="9" s="1"/>
  <c r="M82" i="9"/>
  <c r="I12" i="1"/>
  <c r="M135" i="9"/>
  <c r="N135" i="9" s="1"/>
  <c r="O135" i="9" s="1"/>
  <c r="M146" i="9"/>
  <c r="N146" i="9" s="1"/>
  <c r="O146" i="9" s="1"/>
  <c r="M199" i="9"/>
  <c r="N199" i="9" s="1"/>
  <c r="O199" i="9" s="1"/>
  <c r="M23" i="9"/>
  <c r="N23" i="9" s="1"/>
  <c r="O23" i="9" s="1"/>
  <c r="M26" i="9"/>
  <c r="N26" i="9" s="1"/>
  <c r="O26" i="9" s="1"/>
  <c r="M127" i="9"/>
  <c r="N127" i="9" s="1"/>
  <c r="O127" i="9" s="1"/>
  <c r="M138" i="9"/>
  <c r="N138" i="9" s="1"/>
  <c r="O138" i="9" s="1"/>
  <c r="M47" i="9"/>
  <c r="N47" i="9" s="1"/>
  <c r="O47" i="9" s="1"/>
  <c r="M74" i="9"/>
  <c r="N74" i="9" s="1"/>
  <c r="I208" i="9"/>
  <c r="N208" i="9" s="1"/>
  <c r="O208" i="9" s="1"/>
  <c r="M50" i="9"/>
  <c r="N50" i="9" s="1"/>
  <c r="M71" i="9"/>
  <c r="N71" i="9" s="1"/>
  <c r="O71" i="9" s="1"/>
  <c r="M119" i="9"/>
  <c r="N119" i="9" s="1"/>
  <c r="O119" i="9" s="1"/>
  <c r="M130" i="9"/>
  <c r="N130" i="9" s="1"/>
  <c r="O130" i="9" s="1"/>
  <c r="M183" i="9"/>
  <c r="N183" i="9" s="1"/>
  <c r="O183" i="9" s="1"/>
  <c r="M194" i="9"/>
  <c r="N194" i="9" s="1"/>
  <c r="O194" i="9" s="1"/>
  <c r="M15" i="9"/>
  <c r="N15" i="9" s="1"/>
  <c r="O15" i="9" s="1"/>
  <c r="M191" i="9"/>
  <c r="N191" i="9" s="1"/>
  <c r="O191" i="9" s="1"/>
  <c r="M42" i="9"/>
  <c r="N42" i="9" s="1"/>
  <c r="M63" i="9"/>
  <c r="N63" i="9" s="1"/>
  <c r="M103" i="9"/>
  <c r="N103" i="9" s="1"/>
  <c r="O103" i="9" s="1"/>
  <c r="M114" i="9"/>
  <c r="N114" i="9" s="1"/>
  <c r="O114" i="9" s="1"/>
  <c r="M167" i="9"/>
  <c r="N167" i="9" s="1"/>
  <c r="O167" i="9" s="1"/>
  <c r="M178" i="9"/>
  <c r="N178" i="9" s="1"/>
  <c r="O178" i="9" s="1"/>
  <c r="M87" i="9"/>
  <c r="N87" i="9" s="1"/>
  <c r="O87" i="9" s="1"/>
  <c r="M98" i="9"/>
  <c r="N98" i="9" s="1"/>
  <c r="O98" i="9" s="1"/>
  <c r="M31" i="9"/>
  <c r="N31" i="9" s="1"/>
  <c r="O31" i="9" s="1"/>
  <c r="M151" i="9"/>
  <c r="N151" i="9" s="1"/>
  <c r="O151" i="9" s="1"/>
  <c r="M162" i="9"/>
  <c r="N162" i="9" s="1"/>
  <c r="O162" i="9" s="1"/>
  <c r="D6" i="8"/>
  <c r="N6" i="3"/>
  <c r="M124" i="9"/>
  <c r="I124" i="9"/>
  <c r="B46" i="1"/>
  <c r="N154" i="9"/>
  <c r="O154" i="9" s="1"/>
  <c r="M209" i="4"/>
  <c r="M241" i="4"/>
  <c r="M273" i="4"/>
  <c r="M305" i="4"/>
  <c r="K6" i="7"/>
  <c r="M46" i="9"/>
  <c r="I46" i="9"/>
  <c r="M65" i="9"/>
  <c r="I65" i="9"/>
  <c r="M73" i="9"/>
  <c r="I73" i="9"/>
  <c r="M94" i="9"/>
  <c r="I94" i="9"/>
  <c r="M132" i="9"/>
  <c r="I132" i="9"/>
  <c r="N132" i="9" s="1"/>
  <c r="O132" i="9" s="1"/>
  <c r="M148" i="9"/>
  <c r="I148" i="9"/>
  <c r="N18" i="9"/>
  <c r="B48" i="1"/>
  <c r="M78" i="9"/>
  <c r="I78" i="9"/>
  <c r="M129" i="4"/>
  <c r="D6" i="6"/>
  <c r="J38" i="9"/>
  <c r="B47" i="1" s="1"/>
  <c r="J74" i="9"/>
  <c r="M14" i="9"/>
  <c r="I14" i="9"/>
  <c r="M22" i="9"/>
  <c r="I22" i="9"/>
  <c r="M30" i="9"/>
  <c r="I30" i="9"/>
  <c r="N30" i="9" s="1"/>
  <c r="O30" i="9" s="1"/>
  <c r="M38" i="9"/>
  <c r="I38" i="9"/>
  <c r="N38" i="9" s="1"/>
  <c r="M57" i="9"/>
  <c r="I57" i="9"/>
  <c r="J73" i="9"/>
  <c r="M89" i="9"/>
  <c r="I89" i="9"/>
  <c r="B7" i="9"/>
  <c r="M86" i="9"/>
  <c r="I86" i="9"/>
  <c r="T8" i="1"/>
  <c r="M41" i="9"/>
  <c r="I41" i="9"/>
  <c r="I68" i="9"/>
  <c r="I76" i="9"/>
  <c r="I84" i="9"/>
  <c r="M102" i="9"/>
  <c r="I102" i="9"/>
  <c r="N195" i="9"/>
  <c r="O195" i="9" s="1"/>
  <c r="M156" i="9"/>
  <c r="I156" i="9"/>
  <c r="M196" i="9"/>
  <c r="I196" i="9"/>
  <c r="J54" i="9"/>
  <c r="J18" i="9"/>
  <c r="U47" i="1"/>
  <c r="H6" i="8"/>
  <c r="F6" i="8"/>
  <c r="U46" i="1"/>
  <c r="B6" i="8"/>
  <c r="U45" i="1"/>
  <c r="T12" i="1"/>
  <c r="M17" i="9"/>
  <c r="I17" i="9"/>
  <c r="M25" i="9"/>
  <c r="I25" i="9"/>
  <c r="M49" i="9"/>
  <c r="I49" i="9"/>
  <c r="I60" i="9"/>
  <c r="M97" i="9"/>
  <c r="I97" i="9"/>
  <c r="M116" i="9"/>
  <c r="I116" i="9"/>
  <c r="M140" i="9"/>
  <c r="I140" i="9"/>
  <c r="L6" i="4"/>
  <c r="M70" i="9"/>
  <c r="I70" i="9"/>
  <c r="M81" i="9"/>
  <c r="I81" i="9"/>
  <c r="M10" i="4"/>
  <c r="M201" i="4"/>
  <c r="M233" i="4"/>
  <c r="M265" i="4"/>
  <c r="M297" i="4"/>
  <c r="J25" i="9"/>
  <c r="M33" i="9"/>
  <c r="I33" i="9"/>
  <c r="I44" i="9"/>
  <c r="I52" i="9"/>
  <c r="M68" i="9"/>
  <c r="M76" i="9"/>
  <c r="M84" i="9"/>
  <c r="I92" i="9"/>
  <c r="M164" i="9"/>
  <c r="I164" i="9"/>
  <c r="M172" i="9"/>
  <c r="I172" i="9"/>
  <c r="M180" i="9"/>
  <c r="I180" i="9"/>
  <c r="I12" i="9"/>
  <c r="I20" i="9"/>
  <c r="I28" i="9"/>
  <c r="M60" i="9"/>
  <c r="J63" i="9"/>
  <c r="N82" i="9"/>
  <c r="O82" i="9" s="1"/>
  <c r="M105" i="9"/>
  <c r="I105" i="9"/>
  <c r="N105" i="9" s="1"/>
  <c r="O105" i="9" s="1"/>
  <c r="M113" i="9"/>
  <c r="I113" i="9"/>
  <c r="M121" i="9"/>
  <c r="I121" i="9"/>
  <c r="M129" i="9"/>
  <c r="I129" i="9"/>
  <c r="N129" i="9" s="1"/>
  <c r="O129" i="9" s="1"/>
  <c r="M137" i="9"/>
  <c r="I137" i="9"/>
  <c r="M145" i="9"/>
  <c r="I145" i="9"/>
  <c r="M153" i="9"/>
  <c r="I153" i="9"/>
  <c r="M161" i="9"/>
  <c r="I161" i="9"/>
  <c r="M169" i="9"/>
  <c r="I169" i="9"/>
  <c r="M177" i="9"/>
  <c r="I177" i="9"/>
  <c r="M185" i="9"/>
  <c r="I185" i="9"/>
  <c r="M193" i="9"/>
  <c r="I193" i="9"/>
  <c r="M188" i="9"/>
  <c r="I188" i="9"/>
  <c r="M62" i="9"/>
  <c r="I62" i="9"/>
  <c r="H6" i="7"/>
  <c r="I36" i="9"/>
  <c r="N36" i="9" s="1"/>
  <c r="M44" i="9"/>
  <c r="M52" i="9"/>
  <c r="M92" i="9"/>
  <c r="I100" i="9"/>
  <c r="N100" i="9" s="1"/>
  <c r="O100" i="9" s="1"/>
  <c r="M108" i="9"/>
  <c r="I108" i="9"/>
  <c r="M54" i="9"/>
  <c r="I54" i="9"/>
  <c r="M12" i="9"/>
  <c r="M20" i="9"/>
  <c r="M28" i="9"/>
  <c r="J36" i="9"/>
  <c r="I16" i="9"/>
  <c r="I24" i="9"/>
  <c r="I32" i="9"/>
  <c r="I40" i="9"/>
  <c r="I48" i="9"/>
  <c r="I56" i="9"/>
  <c r="I64" i="9"/>
  <c r="I72" i="9"/>
  <c r="I80" i="9"/>
  <c r="I88" i="9"/>
  <c r="I96" i="9"/>
  <c r="I104" i="9"/>
  <c r="I112" i="9"/>
  <c r="I120" i="9"/>
  <c r="I128" i="9"/>
  <c r="I136" i="9"/>
  <c r="I144" i="9"/>
  <c r="I152" i="9"/>
  <c r="I160" i="9"/>
  <c r="I168" i="9"/>
  <c r="I176" i="9"/>
  <c r="I184" i="9"/>
  <c r="I192" i="9"/>
  <c r="I200" i="9"/>
  <c r="M11" i="9"/>
  <c r="N11" i="9" s="1"/>
  <c r="O11" i="9" s="1"/>
  <c r="M19" i="9"/>
  <c r="N19" i="9" s="1"/>
  <c r="O19" i="9" s="1"/>
  <c r="M27" i="9"/>
  <c r="N27" i="9" s="1"/>
  <c r="O27" i="9" s="1"/>
  <c r="M35" i="9"/>
  <c r="N35" i="9" s="1"/>
  <c r="O35" i="9" s="1"/>
  <c r="M43" i="9"/>
  <c r="N43" i="9" s="1"/>
  <c r="O43" i="9" s="1"/>
  <c r="M51" i="9"/>
  <c r="N51" i="9" s="1"/>
  <c r="O51" i="9" s="1"/>
  <c r="M59" i="9"/>
  <c r="N59" i="9" s="1"/>
  <c r="O59" i="9" s="1"/>
  <c r="M67" i="9"/>
  <c r="N67" i="9" s="1"/>
  <c r="O67" i="9" s="1"/>
  <c r="M75" i="9"/>
  <c r="N75" i="9" s="1"/>
  <c r="O75" i="9" s="1"/>
  <c r="M83" i="9"/>
  <c r="N83" i="9" s="1"/>
  <c r="O83" i="9" s="1"/>
  <c r="M91" i="9"/>
  <c r="N91" i="9" s="1"/>
  <c r="O91" i="9" s="1"/>
  <c r="M99" i="9"/>
  <c r="N99" i="9" s="1"/>
  <c r="O99" i="9" s="1"/>
  <c r="M107" i="9"/>
  <c r="N107" i="9" s="1"/>
  <c r="O107" i="9" s="1"/>
  <c r="M115" i="9"/>
  <c r="N115" i="9" s="1"/>
  <c r="O115" i="9" s="1"/>
  <c r="M123" i="9"/>
  <c r="N123" i="9" s="1"/>
  <c r="O123" i="9" s="1"/>
  <c r="M131" i="9"/>
  <c r="N131" i="9" s="1"/>
  <c r="O131" i="9" s="1"/>
  <c r="M139" i="9"/>
  <c r="N139" i="9" s="1"/>
  <c r="O139" i="9" s="1"/>
  <c r="M147" i="9"/>
  <c r="N147" i="9" s="1"/>
  <c r="O147" i="9" s="1"/>
  <c r="M155" i="9"/>
  <c r="N155" i="9" s="1"/>
  <c r="O155" i="9" s="1"/>
  <c r="M163" i="9"/>
  <c r="N163" i="9" s="1"/>
  <c r="O163" i="9" s="1"/>
  <c r="M171" i="9"/>
  <c r="N171" i="9" s="1"/>
  <c r="O171" i="9" s="1"/>
  <c r="M179" i="9"/>
  <c r="N179" i="9" s="1"/>
  <c r="O179" i="9" s="1"/>
  <c r="M187" i="9"/>
  <c r="N187" i="9" s="1"/>
  <c r="O187" i="9" s="1"/>
  <c r="M195" i="9"/>
  <c r="M203" i="9"/>
  <c r="N203" i="9" s="1"/>
  <c r="O203" i="9" s="1"/>
  <c r="I13" i="9"/>
  <c r="N13" i="9" s="1"/>
  <c r="O13" i="9" s="1"/>
  <c r="I21" i="9"/>
  <c r="N21" i="9" s="1"/>
  <c r="O21" i="9" s="1"/>
  <c r="I29" i="9"/>
  <c r="N29" i="9" s="1"/>
  <c r="O29" i="9" s="1"/>
  <c r="I37" i="9"/>
  <c r="N37" i="9" s="1"/>
  <c r="O37" i="9" s="1"/>
  <c r="I45" i="9"/>
  <c r="N45" i="9" s="1"/>
  <c r="O45" i="9" s="1"/>
  <c r="I53" i="9"/>
  <c r="N53" i="9" s="1"/>
  <c r="O53" i="9" s="1"/>
  <c r="I61" i="9"/>
  <c r="N61" i="9" s="1"/>
  <c r="O61" i="9" s="1"/>
  <c r="I69" i="9"/>
  <c r="N69" i="9" s="1"/>
  <c r="O69" i="9" s="1"/>
  <c r="I77" i="9"/>
  <c r="N77" i="9" s="1"/>
  <c r="O77" i="9" s="1"/>
  <c r="I85" i="9"/>
  <c r="N85" i="9" s="1"/>
  <c r="O85" i="9" s="1"/>
  <c r="I93" i="9"/>
  <c r="N93" i="9" s="1"/>
  <c r="O93" i="9" s="1"/>
  <c r="I101" i="9"/>
  <c r="N101" i="9" s="1"/>
  <c r="O101" i="9" s="1"/>
  <c r="I109" i="9"/>
  <c r="N109" i="9" s="1"/>
  <c r="O109" i="9" s="1"/>
  <c r="I117" i="9"/>
  <c r="N117" i="9" s="1"/>
  <c r="O117" i="9" s="1"/>
  <c r="I125" i="9"/>
  <c r="N125" i="9" s="1"/>
  <c r="O125" i="9" s="1"/>
  <c r="I133" i="9"/>
  <c r="N133" i="9" s="1"/>
  <c r="O133" i="9" s="1"/>
  <c r="I141" i="9"/>
  <c r="N141" i="9" s="1"/>
  <c r="O141" i="9" s="1"/>
  <c r="I149" i="9"/>
  <c r="N149" i="9" s="1"/>
  <c r="O149" i="9" s="1"/>
  <c r="I157" i="9"/>
  <c r="N157" i="9" s="1"/>
  <c r="O157" i="9" s="1"/>
  <c r="I165" i="9"/>
  <c r="N165" i="9" s="1"/>
  <c r="O165" i="9" s="1"/>
  <c r="I173" i="9"/>
  <c r="N173" i="9" s="1"/>
  <c r="O173" i="9" s="1"/>
  <c r="I181" i="9"/>
  <c r="N181" i="9" s="1"/>
  <c r="O181" i="9" s="1"/>
  <c r="I189" i="9"/>
  <c r="N189" i="9" s="1"/>
  <c r="O189" i="9" s="1"/>
  <c r="I197" i="9"/>
  <c r="N197" i="9" s="1"/>
  <c r="O197" i="9" s="1"/>
  <c r="I205" i="9"/>
  <c r="M16" i="9"/>
  <c r="M24" i="9"/>
  <c r="M32" i="9"/>
  <c r="M40" i="9"/>
  <c r="M48" i="9"/>
  <c r="M56" i="9"/>
  <c r="M64" i="9"/>
  <c r="M72" i="9"/>
  <c r="M80" i="9"/>
  <c r="M88" i="9"/>
  <c r="M96" i="9"/>
  <c r="M104" i="9"/>
  <c r="M112" i="9"/>
  <c r="M120" i="9"/>
  <c r="M128" i="9"/>
  <c r="M136" i="9"/>
  <c r="M144" i="9"/>
  <c r="M152" i="9"/>
  <c r="M160" i="9"/>
  <c r="M168" i="9"/>
  <c r="M176" i="9"/>
  <c r="M184" i="9"/>
  <c r="M192" i="9"/>
  <c r="M200" i="9"/>
  <c r="I10" i="9"/>
  <c r="I202" i="9"/>
  <c r="J42" i="9"/>
  <c r="J50" i="9"/>
  <c r="M205" i="9"/>
  <c r="I207" i="9"/>
  <c r="N207" i="9" s="1"/>
  <c r="O207" i="9" s="1"/>
  <c r="M202" i="9"/>
  <c r="B6" i="7"/>
  <c r="B6" i="9"/>
  <c r="I209" i="9"/>
  <c r="I110" i="9"/>
  <c r="N110" i="9" s="1"/>
  <c r="O110" i="9" s="1"/>
  <c r="I118" i="9"/>
  <c r="N118" i="9" s="1"/>
  <c r="O118" i="9" s="1"/>
  <c r="I126" i="9"/>
  <c r="N126" i="9" s="1"/>
  <c r="O126" i="9" s="1"/>
  <c r="I134" i="9"/>
  <c r="N134" i="9" s="1"/>
  <c r="O134" i="9" s="1"/>
  <c r="I142" i="9"/>
  <c r="N142" i="9" s="1"/>
  <c r="O142" i="9" s="1"/>
  <c r="I150" i="9"/>
  <c r="N150" i="9" s="1"/>
  <c r="O150" i="9" s="1"/>
  <c r="I158" i="9"/>
  <c r="N158" i="9" s="1"/>
  <c r="O158" i="9" s="1"/>
  <c r="I166" i="9"/>
  <c r="N166" i="9" s="1"/>
  <c r="O166" i="9" s="1"/>
  <c r="I174" i="9"/>
  <c r="N174" i="9" s="1"/>
  <c r="O174" i="9" s="1"/>
  <c r="I182" i="9"/>
  <c r="N182" i="9" s="1"/>
  <c r="O182" i="9" s="1"/>
  <c r="I190" i="9"/>
  <c r="N190" i="9" s="1"/>
  <c r="O190" i="9" s="1"/>
  <c r="I198" i="9"/>
  <c r="N198" i="9" s="1"/>
  <c r="O198" i="9" s="1"/>
  <c r="I206" i="9"/>
  <c r="N206" i="9" s="1"/>
  <c r="O206" i="9" s="1"/>
  <c r="M209" i="9"/>
  <c r="N54" i="9" l="1"/>
  <c r="O54" i="9" s="1"/>
  <c r="M6" i="9"/>
  <c r="I6" i="9"/>
  <c r="N41" i="9"/>
  <c r="O41" i="9" s="1"/>
  <c r="N145" i="9"/>
  <c r="O145" i="9" s="1"/>
  <c r="N73" i="9"/>
  <c r="O73" i="9" s="1"/>
  <c r="N22" i="9"/>
  <c r="O22" i="9" s="1"/>
  <c r="N200" i="9"/>
  <c r="O200" i="9" s="1"/>
  <c r="N72" i="9"/>
  <c r="O72" i="9" s="1"/>
  <c r="N108" i="9"/>
  <c r="O108" i="9" s="1"/>
  <c r="N176" i="9"/>
  <c r="O176" i="9" s="1"/>
  <c r="N81" i="9"/>
  <c r="O81" i="9" s="1"/>
  <c r="N25" i="9"/>
  <c r="O25" i="9" s="1"/>
  <c r="N168" i="9"/>
  <c r="O168" i="9" s="1"/>
  <c r="N177" i="9"/>
  <c r="O177" i="9" s="1"/>
  <c r="N124" i="9"/>
  <c r="O124" i="9" s="1"/>
  <c r="N161" i="9"/>
  <c r="O161" i="9" s="1"/>
  <c r="N89" i="9"/>
  <c r="O89" i="9" s="1"/>
  <c r="N46" i="9"/>
  <c r="O46" i="9" s="1"/>
  <c r="N153" i="9"/>
  <c r="O153" i="9" s="1"/>
  <c r="N202" i="9"/>
  <c r="O202" i="9" s="1"/>
  <c r="N192" i="9"/>
  <c r="O192" i="9" s="1"/>
  <c r="N28" i="9"/>
  <c r="O28" i="9" s="1"/>
  <c r="N24" i="9"/>
  <c r="O24" i="9" s="1"/>
  <c r="N185" i="9"/>
  <c r="O185" i="9" s="1"/>
  <c r="N180" i="9"/>
  <c r="O180" i="9" s="1"/>
  <c r="N57" i="9"/>
  <c r="O57" i="9" s="1"/>
  <c r="N78" i="9"/>
  <c r="O78" i="9" s="1"/>
  <c r="N140" i="9"/>
  <c r="O140" i="9" s="1"/>
  <c r="N116" i="9"/>
  <c r="O116" i="9" s="1"/>
  <c r="N205" i="9"/>
  <c r="O205" i="9" s="1"/>
  <c r="O36" i="9"/>
  <c r="N188" i="9"/>
  <c r="O188" i="9" s="1"/>
  <c r="N152" i="9"/>
  <c r="O152" i="9" s="1"/>
  <c r="O63" i="9"/>
  <c r="N209" i="9"/>
  <c r="O209" i="9" s="1"/>
  <c r="N88" i="9"/>
  <c r="O88" i="9" s="1"/>
  <c r="N137" i="9"/>
  <c r="O137" i="9" s="1"/>
  <c r="N14" i="9"/>
  <c r="O14" i="9" s="1"/>
  <c r="N148" i="9"/>
  <c r="O148" i="9" s="1"/>
  <c r="N184" i="9"/>
  <c r="O184" i="9" s="1"/>
  <c r="N56" i="9"/>
  <c r="O56" i="9" s="1"/>
  <c r="N17" i="9"/>
  <c r="O17" i="9" s="1"/>
  <c r="O74" i="9"/>
  <c r="N64" i="9"/>
  <c r="O64" i="9" s="1"/>
  <c r="N48" i="9"/>
  <c r="O48" i="9" s="1"/>
  <c r="N40" i="9"/>
  <c r="O40" i="9" s="1"/>
  <c r="O42" i="9"/>
  <c r="N160" i="9"/>
  <c r="O160" i="9" s="1"/>
  <c r="N32" i="9"/>
  <c r="O32" i="9" s="1"/>
  <c r="N62" i="9"/>
  <c r="O62" i="9" s="1"/>
  <c r="N169" i="9"/>
  <c r="O169" i="9" s="1"/>
  <c r="N172" i="9"/>
  <c r="O172" i="9" s="1"/>
  <c r="N76" i="9"/>
  <c r="O76" i="9" s="1"/>
  <c r="N20" i="9"/>
  <c r="O20" i="9" s="1"/>
  <c r="N44" i="9"/>
  <c r="O44" i="9" s="1"/>
  <c r="N144" i="9"/>
  <c r="O144" i="9" s="1"/>
  <c r="N16" i="9"/>
  <c r="O16" i="9" s="1"/>
  <c r="N70" i="9"/>
  <c r="O70" i="9" s="1"/>
  <c r="N136" i="9"/>
  <c r="O136" i="9" s="1"/>
  <c r="N121" i="9"/>
  <c r="O121" i="9" s="1"/>
  <c r="N12" i="9"/>
  <c r="O12" i="9" s="1"/>
  <c r="N164" i="9"/>
  <c r="O164" i="9" s="1"/>
  <c r="N33" i="9"/>
  <c r="O33" i="9" s="1"/>
  <c r="N97" i="9"/>
  <c r="O97" i="9" s="1"/>
  <c r="N196" i="9"/>
  <c r="O196" i="9" s="1"/>
  <c r="N94" i="9"/>
  <c r="O94" i="9" s="1"/>
  <c r="N80" i="9"/>
  <c r="O80" i="9" s="1"/>
  <c r="N68" i="9"/>
  <c r="O68" i="9" s="1"/>
  <c r="O38" i="9"/>
  <c r="N52" i="9"/>
  <c r="O52" i="9" s="1"/>
  <c r="N128" i="9"/>
  <c r="O128" i="9" s="1"/>
  <c r="N120" i="9"/>
  <c r="O120" i="9" s="1"/>
  <c r="N112" i="9"/>
  <c r="O112" i="9" s="1"/>
  <c r="N113" i="9"/>
  <c r="O113" i="9" s="1"/>
  <c r="N92" i="9"/>
  <c r="O92" i="9" s="1"/>
  <c r="N60" i="9"/>
  <c r="O60" i="9" s="1"/>
  <c r="N156" i="9"/>
  <c r="O156" i="9" s="1"/>
  <c r="N102" i="9"/>
  <c r="O102" i="9" s="1"/>
  <c r="N86" i="9"/>
  <c r="O86" i="9" s="1"/>
  <c r="N10" i="9"/>
  <c r="O10" i="9" s="1"/>
  <c r="M12" i="1" s="1"/>
  <c r="O50" i="9"/>
  <c r="N104" i="9"/>
  <c r="O104" i="9" s="1"/>
  <c r="N96" i="9"/>
  <c r="O96" i="9" s="1"/>
  <c r="N193" i="9"/>
  <c r="O193" i="9" s="1"/>
  <c r="N49" i="9"/>
  <c r="O49" i="9" s="1"/>
  <c r="O18" i="9"/>
  <c r="N84" i="9"/>
  <c r="O84" i="9" s="1"/>
  <c r="N65" i="9"/>
  <c r="O65" i="9" s="1"/>
  <c r="E7" i="9" l="1"/>
  <c r="E6" i="9"/>
</calcChain>
</file>

<file path=xl/sharedStrings.xml><?xml version="1.0" encoding="utf-8"?>
<sst xmlns="http://schemas.openxmlformats.org/spreadsheetml/2006/main" count="1942" uniqueCount="609">
  <si>
    <t>HR OPERATIONS COMMAND CENTER</t>
  </si>
  <si>
    <t>People  •  Attendance  •  Payroll  •  Compliance  •  Workforce Analytics</t>
  </si>
  <si>
    <t xml:space="preserve"> HOME </t>
  </si>
  <si>
    <t xml:space="preserve"> PEOPLE </t>
  </si>
  <si>
    <t xml:space="preserve"> ATTEND. </t>
  </si>
  <si>
    <t xml:space="preserve"> LEAVE </t>
  </si>
  <si>
    <t xml:space="preserve"> PAYROLL </t>
  </si>
  <si>
    <t xml:space="preserve"> DOCS </t>
  </si>
  <si>
    <t xml:space="preserve"> COMPLY </t>
  </si>
  <si>
    <t xml:space="preserve"> ANALYTICS </t>
  </si>
  <si>
    <t xml:space="preserve"> MGMT </t>
  </si>
  <si>
    <t>WORKFORCE</t>
  </si>
  <si>
    <t>ATTENDANCE</t>
  </si>
  <si>
    <t>PAYROLL &amp; COMPLIANCE</t>
  </si>
  <si>
    <t>TOTAL EMPLOYEES</t>
  </si>
  <si>
    <t>ACTIVE EMPLOYEES</t>
  </si>
  <si>
    <t>NEW JOINERS (30D)</t>
  </si>
  <si>
    <t>EXITS (90D)</t>
  </si>
  <si>
    <t>ATTENDANCE % (PERIOD)</t>
  </si>
  <si>
    <t>LATE INSTANCES</t>
  </si>
  <si>
    <t>PRESENT (LATEST DAY)</t>
  </si>
  <si>
    <t>ABSENT (LATEST DAY)</t>
  </si>
  <si>
    <t>GROSS PAYROLL (LATEST)</t>
  </si>
  <si>
    <t>NET PAYROLL (LATEST)</t>
  </si>
  <si>
    <t>COMPLIANCE SCORE</t>
  </si>
  <si>
    <t>CRITICAL ALERTS</t>
  </si>
  <si>
    <t>WORKFORCE TREND (LAST 6 MONTHS)</t>
  </si>
  <si>
    <t>ATTENDANCE MIX (PERIOD)</t>
  </si>
  <si>
    <t>HR INSIGHTS</t>
  </si>
  <si>
    <t>COMPLIANCE ALERTS</t>
  </si>
  <si>
    <t>Expired items</t>
  </si>
  <si>
    <t>Due within 7 days</t>
  </si>
  <si>
    <t>Due within 30 days</t>
  </si>
  <si>
    <t>Employees with document gaps</t>
  </si>
  <si>
    <t>See full list → Expiry Tracker</t>
  </si>
  <si>
    <t>Month</t>
  </si>
  <si>
    <t>New Joiners</t>
  </si>
  <si>
    <t>Exits</t>
  </si>
  <si>
    <t>Total Employees</t>
  </si>
  <si>
    <t>Code</t>
  </si>
  <si>
    <t>Count</t>
  </si>
  <si>
    <t>Mar-26</t>
  </si>
  <si>
    <t>P</t>
  </si>
  <si>
    <t>Apr-26</t>
  </si>
  <si>
    <t>A</t>
  </si>
  <si>
    <t>May-26</t>
  </si>
  <si>
    <t>WO</t>
  </si>
  <si>
    <t>Jun-26</t>
  </si>
  <si>
    <t>HD</t>
  </si>
  <si>
    <t>Jul-26</t>
  </si>
  <si>
    <t>AL</t>
  </si>
  <si>
    <t>Aug-26</t>
  </si>
  <si>
    <t>ML</t>
  </si>
  <si>
    <t>LOP</t>
  </si>
  <si>
    <t>LISTS &amp; SETTINGS</t>
  </si>
  <si>
    <t>Dropdown values and configurable assumptions - edit here to update every sheet</t>
  </si>
  <si>
    <t>Departments</t>
  </si>
  <si>
    <t>Designations</t>
  </si>
  <si>
    <t>Employment Type</t>
  </si>
  <si>
    <t>Status</t>
  </si>
  <si>
    <t>Attendance</t>
  </si>
  <si>
    <t>Leave Type</t>
  </si>
  <si>
    <t>Document Status</t>
  </si>
  <si>
    <t>Yes/No</t>
  </si>
  <si>
    <t>Setting</t>
  </si>
  <si>
    <t>Value</t>
  </si>
  <si>
    <t>Zone 1 - Water Ops</t>
  </si>
  <si>
    <t>Admin Officer</t>
  </si>
  <si>
    <t>Full-Time</t>
  </si>
  <si>
    <t>Active</t>
  </si>
  <si>
    <t>CL</t>
  </si>
  <si>
    <t>Available</t>
  </si>
  <si>
    <t>Yes</t>
  </si>
  <si>
    <t>Jan-26</t>
  </si>
  <si>
    <t>Standard In Time</t>
  </si>
  <si>
    <t>Zone 2 - Water Ops</t>
  </si>
  <si>
    <t>Billing Clerk</t>
  </si>
  <si>
    <t>Part-Time</t>
  </si>
  <si>
    <t>Notice Period</t>
  </si>
  <si>
    <t>SL</t>
  </si>
  <si>
    <t>Pending</t>
  </si>
  <si>
    <t>No</t>
  </si>
  <si>
    <t>Feb-26</t>
  </si>
  <si>
    <t>Standard Out Time</t>
  </si>
  <si>
    <t>Zone 3 - Water Ops</t>
  </si>
  <si>
    <t>Data Entry Operator</t>
  </si>
  <si>
    <t>Contract</t>
  </si>
  <si>
    <t>Resigned</t>
  </si>
  <si>
    <t>EL</t>
  </si>
  <si>
    <t>Missing</t>
  </si>
  <si>
    <t>Standard Working Hours/Day</t>
  </si>
  <si>
    <t>Zone 4 - Water Ops</t>
  </si>
  <si>
    <t>Electrician</t>
  </si>
  <si>
    <t>Daily Wage</t>
  </si>
  <si>
    <t>Terminated</t>
  </si>
  <si>
    <t>Expired</t>
  </si>
  <si>
    <t>PF Rate (Employer, % of Basic)</t>
  </si>
  <si>
    <t>Billing &amp; Revenue</t>
  </si>
  <si>
    <t>Field Technician</t>
  </si>
  <si>
    <t>Trainee</t>
  </si>
  <si>
    <t>ESI Rate (Employer, % of Gross)</t>
  </si>
  <si>
    <t>Technical &amp; Maintenance</t>
  </si>
  <si>
    <t>HR Assistant</t>
  </si>
  <si>
    <t>ESI Wage Ceiling (Gross Rs./month)</t>
  </si>
  <si>
    <t>HR &amp; Admin</t>
  </si>
  <si>
    <t>HR Executive</t>
  </si>
  <si>
    <t>Junior Engineer</t>
  </si>
  <si>
    <t>Meter Reader</t>
  </si>
  <si>
    <t>Sep-26</t>
  </si>
  <si>
    <t>Office Supervisor</t>
  </si>
  <si>
    <t>Oct-26</t>
  </si>
  <si>
    <t>Plumber Technician</t>
  </si>
  <si>
    <t>Nov-26</t>
  </si>
  <si>
    <t>Revenue Inspector</t>
  </si>
  <si>
    <t>Dec-26</t>
  </si>
  <si>
    <t>Store Keeper</t>
  </si>
  <si>
    <t>Valve Operator</t>
  </si>
  <si>
    <t>Zone Supervisor</t>
  </si>
  <si>
    <t>EMPLOYEE MASTER</t>
  </si>
  <si>
    <t>Core HR database - single source of truth for every lookup in this workbook</t>
  </si>
  <si>
    <t>EXITS (LAST 90D)</t>
  </si>
  <si>
    <t>AVG SERVICE (YRS)</t>
  </si>
  <si>
    <t>Employee ID</t>
  </si>
  <si>
    <t>Employee Name</t>
  </si>
  <si>
    <t>Gender</t>
  </si>
  <si>
    <t>DOB</t>
  </si>
  <si>
    <t>Age</t>
  </si>
  <si>
    <t>DOJ</t>
  </si>
  <si>
    <t>Service (Yrs)</t>
  </si>
  <si>
    <t>Department</t>
  </si>
  <si>
    <t>Designation</t>
  </si>
  <si>
    <t>Phone</t>
  </si>
  <si>
    <t>Email</t>
  </si>
  <si>
    <t>PAN</t>
  </si>
  <si>
    <t>Aadhaar</t>
  </si>
  <si>
    <t>Bank A/C</t>
  </si>
  <si>
    <t>IFSC</t>
  </si>
  <si>
    <t>Basic Salary</t>
  </si>
  <si>
    <t>Gross Salary</t>
  </si>
  <si>
    <t>PF Applicable</t>
  </si>
  <si>
    <t>ESI Applicable</t>
  </si>
  <si>
    <t>Exit Date</t>
  </si>
  <si>
    <t>Male</t>
  </si>
  <si>
    <t>Vijay K</t>
  </si>
  <si>
    <t>Murugesan P</t>
  </si>
  <si>
    <t>Murugesan S</t>
  </si>
  <si>
    <t>Murugesan</t>
  </si>
  <si>
    <t>Elango K</t>
  </si>
  <si>
    <t>Bala Murugan</t>
  </si>
  <si>
    <t>Murugesan V</t>
  </si>
  <si>
    <t>Elango P</t>
  </si>
  <si>
    <t>Senthil Kumar K</t>
  </si>
  <si>
    <t>Saravanan P</t>
  </si>
  <si>
    <t>Karthik V</t>
  </si>
  <si>
    <t>Senthil Kumar</t>
  </si>
  <si>
    <t>Gopinath P</t>
  </si>
  <si>
    <t>Muthu Raj</t>
  </si>
  <si>
    <t>Senthil Kumar S</t>
  </si>
  <si>
    <t>Sowmya V</t>
  </si>
  <si>
    <t>Female</t>
  </si>
  <si>
    <t>Nandhini</t>
  </si>
  <si>
    <t>Divya</t>
  </si>
  <si>
    <t>Divya K</t>
  </si>
  <si>
    <t>Karthik S</t>
  </si>
  <si>
    <t>Dinesh</t>
  </si>
  <si>
    <t>Kumaresan M</t>
  </si>
  <si>
    <t>Vijay P</t>
  </si>
  <si>
    <t>Divya R</t>
  </si>
  <si>
    <t>Selvam R</t>
  </si>
  <si>
    <t>Saravanan</t>
  </si>
  <si>
    <t>Nandhini R</t>
  </si>
  <si>
    <t>Kavitha R</t>
  </si>
  <si>
    <t>Suresh K</t>
  </si>
  <si>
    <t>Sathish M</t>
  </si>
  <si>
    <t>Selvam K</t>
  </si>
  <si>
    <t>Revathi V</t>
  </si>
  <si>
    <t>Naveen M</t>
  </si>
  <si>
    <t>Kavitha K</t>
  </si>
  <si>
    <t>ATTENDANCE TRACKER</t>
  </si>
  <si>
    <t>Daily attendance log with automatic lookups, working hours and lateness flags</t>
  </si>
  <si>
    <t>LATE (LATEST DAY)</t>
  </si>
  <si>
    <t>Date</t>
  </si>
  <si>
    <t>Attendance Code</t>
  </si>
  <si>
    <t>In Time</t>
  </si>
  <si>
    <t>Out Time</t>
  </si>
  <si>
    <t>OT Hours</t>
  </si>
  <si>
    <t>Remarks</t>
  </si>
  <si>
    <t>Working Hours</t>
  </si>
  <si>
    <t>Late</t>
  </si>
  <si>
    <t>Early Exit</t>
  </si>
  <si>
    <t>LEAVE TRACKER</t>
  </si>
  <si>
    <t>Leave requests, approvals and day-count calculations linked to Employee Master</t>
  </si>
  <si>
    <t>TOTAL REQUESTS</t>
  </si>
  <si>
    <t>APPROVED</t>
  </si>
  <si>
    <t>PENDING</t>
  </si>
  <si>
    <t>REJECTED</t>
  </si>
  <si>
    <t>Leave ID</t>
  </si>
  <si>
    <t>From Date</t>
  </si>
  <si>
    <t>To Date</t>
  </si>
  <si>
    <t>Days</t>
  </si>
  <si>
    <t>Approval Status</t>
  </si>
  <si>
    <t>LV-1000</t>
  </si>
  <si>
    <t>LV-1001</t>
  </si>
  <si>
    <t>LV-1002</t>
  </si>
  <si>
    <t>LV-1003</t>
  </si>
  <si>
    <t>Approved</t>
  </si>
  <si>
    <t>LV-1004</t>
  </si>
  <si>
    <t>LV-1005</t>
  </si>
  <si>
    <t>LV-1006</t>
  </si>
  <si>
    <t>LV-1007</t>
  </si>
  <si>
    <t>LV-1008</t>
  </si>
  <si>
    <t>Rejected</t>
  </si>
  <si>
    <t>LV-1009</t>
  </si>
  <si>
    <t>LV-1010</t>
  </si>
  <si>
    <t>LV-1011</t>
  </si>
  <si>
    <t>LV-1012</t>
  </si>
  <si>
    <t>LV-1013</t>
  </si>
  <si>
    <t>LV-1014</t>
  </si>
  <si>
    <t>LV-1015</t>
  </si>
  <si>
    <t>LV-1016</t>
  </si>
  <si>
    <t>LV-1017</t>
  </si>
  <si>
    <t>OVERTIME TRACKER</t>
  </si>
  <si>
    <t>Overtime hours, rates and approval status, feeding directly into Payroll</t>
  </si>
  <si>
    <t>TOTAL OT HOURS</t>
  </si>
  <si>
    <t>TOTAL OT AMOUNT</t>
  </si>
  <si>
    <t>EMPLOYEES WITH OT</t>
  </si>
  <si>
    <t>AVG OT HRS/ENTRY</t>
  </si>
  <si>
    <t>OT Rate</t>
  </si>
  <si>
    <t>OT Amount</t>
  </si>
  <si>
    <t>EMPLOYEE DOCUMENT TRACKER</t>
  </si>
  <si>
    <t>Statutory &amp; HR document completion status per employee</t>
  </si>
  <si>
    <t>AVG COMPLETION %</t>
  </si>
  <si>
    <t>FULLY COMPLETE</t>
  </si>
  <si>
    <t>EMPLOYEES W/ GAPS</t>
  </si>
  <si>
    <t>MISSING DOCUMENTS</t>
  </si>
  <si>
    <t>Bank Proof</t>
  </si>
  <si>
    <t>Education</t>
  </si>
  <si>
    <t>Appointment Letter</t>
  </si>
  <si>
    <t>Address Proof</t>
  </si>
  <si>
    <t>Completion %</t>
  </si>
  <si>
    <t>Missing Docs</t>
  </si>
  <si>
    <t>EXPIRY / RENEWAL TRACKER</t>
  </si>
  <si>
    <t>Certificates, licences and renewals - automatically flags what needs urgent attention</t>
  </si>
  <si>
    <t>EXPIRED</t>
  </si>
  <si>
    <t>DUE IN 7 DAYS</t>
  </si>
  <si>
    <t>DUE IN 30 DAYS</t>
  </si>
  <si>
    <t>VALID</t>
  </si>
  <si>
    <t>Item</t>
  </si>
  <si>
    <t>Expiry Date</t>
  </si>
  <si>
    <t>Days Remaining</t>
  </si>
  <si>
    <t>Safety Training Certificate</t>
  </si>
  <si>
    <t>Medical Fitness Certificate</t>
  </si>
  <si>
    <t>Contract Renewal</t>
  </si>
  <si>
    <t>Insurance (Group Personal Accident)</t>
  </si>
  <si>
    <t>Police Verification</t>
  </si>
  <si>
    <t>Driving License</t>
  </si>
  <si>
    <t>PAYROLL PREPARATION</t>
  </si>
  <si>
    <t>Month-wise payroll run - Basic, LOP, OT, statutory deductions and net pay</t>
  </si>
  <si>
    <t>GROSS PAYROLL</t>
  </si>
  <si>
    <t>NET PAYROLL</t>
  </si>
  <si>
    <t>TOTAL LOP + PF + ESI</t>
  </si>
  <si>
    <t>Basic</t>
  </si>
  <si>
    <t>Gross</t>
  </si>
  <si>
    <t>Present Days</t>
  </si>
  <si>
    <t>LOP Days</t>
  </si>
  <si>
    <t>LOP Deduction</t>
  </si>
  <si>
    <t>Other Deduction</t>
  </si>
  <si>
    <t>PF</t>
  </si>
  <si>
    <t>ESI</t>
  </si>
  <si>
    <t>Total Deductions</t>
  </si>
  <si>
    <t>Net Pay</t>
  </si>
  <si>
    <t>HR OPERATIONS MASTER TOOLKIT 2.0</t>
  </si>
  <si>
    <t>A complete HR database, workforce analytics and compliance system - built in Excel</t>
  </si>
  <si>
    <t>Purpose</t>
  </si>
  <si>
    <t>A practical HR system for employee master data, attendance, leave, OT, payroll, documents, expiry alerts and dashboard reporting for a field-distributed, compliance-heavy workforce.</t>
  </si>
  <si>
    <t>How to use</t>
  </si>
  <si>
    <t>Start in Employee Master. Add or edit employees there first - every other sheet looks them up from it. Then log Attendance / Leave / OT / Documents / Expiry, and run Payroll for the month.</t>
  </si>
  <si>
    <t>Navigation</t>
  </si>
  <si>
    <t>Every sheet has a nav bar under the title (row 3) - click any tab name to jump straight there. HOME returns you to the HR Command Center.</t>
  </si>
  <si>
    <t>Sample data</t>
  </si>
  <si>
    <t>Employee Master, Attendance, Leave, OT, Documents, Expiry and Payroll are pre-loaded with 36 sample employees so every dashboard renders real charts out of the box. This is DEMO data - clear the coloured input columns (see below) and enter your real records before using this for actual payroll or compliance decisions.</t>
  </si>
  <si>
    <t>What to edit</t>
  </si>
  <si>
    <t>White/blue text on the data sheets = type over it freely. Formula cells (grey formula-style) recalculate automatically - do not overwrite them. Lists (hidden sheet, Home nav has no direct link - right-click any sheet tab &gt; Unhide) holds every dropdown value and the shift-time / PF / ESI assumptions used across the workbook - edit them there once and every sheet updates.</t>
  </si>
  <si>
    <t>Architecture</t>
  </si>
  <si>
    <t>Data layer: Employee Master, Attendance, Leave Tracker, OT Tracker, Document Tracker, Expiry Tracker, Payroll. Presentation layer: HR Command Center, Management Dashboard, HR Ops Dashboard, Analytics &amp; Reports, Compliance Center. Nothing on the presentation layer is hardcoded - every KPI and chart reads from the data layer.</t>
  </si>
  <si>
    <t>Important</t>
  </si>
  <si>
    <t>This is a template. Verify statutory rates (PF/ESI), payroll rules, company policy and local compliance requirements before relying on this for real payroll.</t>
  </si>
  <si>
    <t>XXX-01</t>
  </si>
  <si>
    <t>XXX-02</t>
  </si>
  <si>
    <t>XXX-03</t>
  </si>
  <si>
    <t>XXX-04</t>
  </si>
  <si>
    <t>XXX-05</t>
  </si>
  <si>
    <t>XXX-06</t>
  </si>
  <si>
    <t>XXX-07</t>
  </si>
  <si>
    <t>XXX-08</t>
  </si>
  <si>
    <t>XXX-09</t>
  </si>
  <si>
    <t>XXX-10</t>
  </si>
  <si>
    <t>XXX-11</t>
  </si>
  <si>
    <t>XXX-12</t>
  </si>
  <si>
    <t>XXX-13</t>
  </si>
  <si>
    <t>XXX-14</t>
  </si>
  <si>
    <t>XXX-15</t>
  </si>
  <si>
    <t>XXX-16</t>
  </si>
  <si>
    <t>XXX-17</t>
  </si>
  <si>
    <t>XXX-18</t>
  </si>
  <si>
    <t>XXX-19</t>
  </si>
  <si>
    <t>XXX-20</t>
  </si>
  <si>
    <t>XXX-21</t>
  </si>
  <si>
    <t>XXX-22</t>
  </si>
  <si>
    <t>XXX-23</t>
  </si>
  <si>
    <t>XXX-24</t>
  </si>
  <si>
    <t>XXX-25</t>
  </si>
  <si>
    <t>XXX-26</t>
  </si>
  <si>
    <t>XXX-27</t>
  </si>
  <si>
    <t>XXX-28</t>
  </si>
  <si>
    <t>XXX-29</t>
  </si>
  <si>
    <t>XXX-30</t>
  </si>
  <si>
    <t>XXX-31</t>
  </si>
  <si>
    <t>XXX-32</t>
  </si>
  <si>
    <t>XXX-33</t>
  </si>
  <si>
    <t>XXX-34</t>
  </si>
  <si>
    <t>XXX-35</t>
  </si>
  <si>
    <t>XXX-36</t>
  </si>
  <si>
    <t>Murugan</t>
  </si>
  <si>
    <t>Human Resources</t>
  </si>
  <si>
    <t>Finance &amp; Accounts</t>
  </si>
  <si>
    <t>Administration</t>
  </si>
  <si>
    <t>Operations</t>
  </si>
  <si>
    <t>Sales &amp; Marketing</t>
  </si>
  <si>
    <t>IT &amp; Systems</t>
  </si>
  <si>
    <t>Procurement</t>
  </si>
  <si>
    <t>Quality Control</t>
  </si>
  <si>
    <t>Maintenance</t>
  </si>
  <si>
    <t>Customer Support</t>
  </si>
  <si>
    <t>HR Manager</t>
  </si>
  <si>
    <t>Payroll Executive</t>
  </si>
  <si>
    <t>Admin Executive</t>
  </si>
  <si>
    <t>Operations Manager</t>
  </si>
  <si>
    <t>Operations Executive</t>
  </si>
  <si>
    <t>XXX-37</t>
  </si>
  <si>
    <t>XXX-38</t>
  </si>
  <si>
    <t>XXX-39</t>
  </si>
  <si>
    <t>XXX-40</t>
  </si>
  <si>
    <t>XXX-41</t>
  </si>
  <si>
    <t>XXX-42</t>
  </si>
  <si>
    <t>XXX-43</t>
  </si>
  <si>
    <t>XXX-44</t>
  </si>
  <si>
    <t>XXX-45</t>
  </si>
  <si>
    <t>XXX-46</t>
  </si>
  <si>
    <t>XXX-47</t>
  </si>
  <si>
    <t>XXX-48</t>
  </si>
  <si>
    <t>XXX-49</t>
  </si>
  <si>
    <t>XXX-50</t>
  </si>
  <si>
    <t>XXX-51</t>
  </si>
  <si>
    <t>XXX-52</t>
  </si>
  <si>
    <t>XXX-53</t>
  </si>
  <si>
    <t>XXX-54</t>
  </si>
  <si>
    <t>XXX-55</t>
  </si>
  <si>
    <t>XXX-56</t>
  </si>
  <si>
    <t>XXX-57</t>
  </si>
  <si>
    <t>XXX-58</t>
  </si>
  <si>
    <t>XXX-59</t>
  </si>
  <si>
    <t>XXX-60</t>
  </si>
  <si>
    <t>XXX-61</t>
  </si>
  <si>
    <t>XXX-62</t>
  </si>
  <si>
    <t>XXX-63</t>
  </si>
  <si>
    <t>XXX-64</t>
  </si>
  <si>
    <t>XXX-65</t>
  </si>
  <si>
    <t>XXX-66</t>
  </si>
  <si>
    <t>XXX-67</t>
  </si>
  <si>
    <t>XXX-68</t>
  </si>
  <si>
    <t>XXX-69</t>
  </si>
  <si>
    <t>XXX-70</t>
  </si>
  <si>
    <t>XXX-71</t>
  </si>
  <si>
    <t>XXX-72</t>
  </si>
  <si>
    <t>XXX-73</t>
  </si>
  <si>
    <t>XXX-74</t>
  </si>
  <si>
    <t>XXX-75</t>
  </si>
  <si>
    <t>XXX-76</t>
  </si>
  <si>
    <t>XXX-77</t>
  </si>
  <si>
    <t>XXX-78</t>
  </si>
  <si>
    <t>XXX-79</t>
  </si>
  <si>
    <t>XXX-80</t>
  </si>
  <si>
    <t>XXX-81</t>
  </si>
  <si>
    <t>XXX-82</t>
  </si>
  <si>
    <t>XXX-83</t>
  </si>
  <si>
    <t>XXX-84</t>
  </si>
  <si>
    <t>XXX-85</t>
  </si>
  <si>
    <t>XXX-86</t>
  </si>
  <si>
    <t>XXX-87</t>
  </si>
  <si>
    <t>XXX-88</t>
  </si>
  <si>
    <t>XXX-89</t>
  </si>
  <si>
    <t>XXX-90</t>
  </si>
  <si>
    <t>XXX-91</t>
  </si>
  <si>
    <t>XXX-92</t>
  </si>
  <si>
    <t>XXX-93</t>
  </si>
  <si>
    <t>XXX-94</t>
  </si>
  <si>
    <t>XXX-95</t>
  </si>
  <si>
    <t>XXX-96</t>
  </si>
  <si>
    <t>XXX-97</t>
  </si>
  <si>
    <t>XXX-98</t>
  </si>
  <si>
    <t>XXX-99</t>
  </si>
  <si>
    <t>XXX-100</t>
  </si>
  <si>
    <t>XXX-101</t>
  </si>
  <si>
    <t>XXX-102</t>
  </si>
  <si>
    <t>XXX-103</t>
  </si>
  <si>
    <t>XXX-104</t>
  </si>
  <si>
    <t>XXX-105</t>
  </si>
  <si>
    <t>XXX-106</t>
  </si>
  <si>
    <t>XXX-107</t>
  </si>
  <si>
    <t>XXX-108</t>
  </si>
  <si>
    <t>XXX-109</t>
  </si>
  <si>
    <t>XXX-110</t>
  </si>
  <si>
    <t>XXX-111</t>
  </si>
  <si>
    <t>XXX-112</t>
  </si>
  <si>
    <t>XXX-113</t>
  </si>
  <si>
    <t>XXX-114</t>
  </si>
  <si>
    <t>XXX-115</t>
  </si>
  <si>
    <t>XXX-116</t>
  </si>
  <si>
    <t>XXX-117</t>
  </si>
  <si>
    <t>XXX-118</t>
  </si>
  <si>
    <t>XXX-119</t>
  </si>
  <si>
    <t>XXX-120</t>
  </si>
  <si>
    <t>XXX-121</t>
  </si>
  <si>
    <t>XXX-122</t>
  </si>
  <si>
    <t>XXX-123</t>
  </si>
  <si>
    <t>XXX-124</t>
  </si>
  <si>
    <t>XXX-125</t>
  </si>
  <si>
    <t>XXX-126</t>
  </si>
  <si>
    <t>XXX-127</t>
  </si>
  <si>
    <t>XXX-128</t>
  </si>
  <si>
    <t>XXX-129</t>
  </si>
  <si>
    <t>XXX-130</t>
  </si>
  <si>
    <t>XXX-131</t>
  </si>
  <si>
    <t>XXX-132</t>
  </si>
  <si>
    <t>XXX-133</t>
  </si>
  <si>
    <t>XXX-134</t>
  </si>
  <si>
    <t>XXX-135</t>
  </si>
  <si>
    <t>XXX-136</t>
  </si>
  <si>
    <t>XXX-137</t>
  </si>
  <si>
    <t>XXX-138</t>
  </si>
  <si>
    <t>XXX-139</t>
  </si>
  <si>
    <t>XXX-140</t>
  </si>
  <si>
    <t>XXX-141</t>
  </si>
  <si>
    <t>XXX-142</t>
  </si>
  <si>
    <t>XXX-143</t>
  </si>
  <si>
    <t>XXX-144</t>
  </si>
  <si>
    <t>XXX-145</t>
  </si>
  <si>
    <t>XXX-146</t>
  </si>
  <si>
    <t>XXX-147</t>
  </si>
  <si>
    <t>XXX-148</t>
  </si>
  <si>
    <t>XXX-149</t>
  </si>
  <si>
    <t>XXX-150</t>
  </si>
  <si>
    <t>XXX-151</t>
  </si>
  <si>
    <t>XXX-152</t>
  </si>
  <si>
    <t>XXX-153</t>
  </si>
  <si>
    <t>XXX-154</t>
  </si>
  <si>
    <t>XXX-155</t>
  </si>
  <si>
    <t>XXX-156</t>
  </si>
  <si>
    <t>XXX-157</t>
  </si>
  <si>
    <t>XXX-158</t>
  </si>
  <si>
    <t>XXX-159</t>
  </si>
  <si>
    <t>XXX-160</t>
  </si>
  <si>
    <t>XXX-161</t>
  </si>
  <si>
    <t>XXX-162</t>
  </si>
  <si>
    <t>XXX-163</t>
  </si>
  <si>
    <t>XXX-164</t>
  </si>
  <si>
    <t>XXX-165</t>
  </si>
  <si>
    <t>XXX-166</t>
  </si>
  <si>
    <t>XXX-167</t>
  </si>
  <si>
    <t>XXX-168</t>
  </si>
  <si>
    <t>XXX-169</t>
  </si>
  <si>
    <t>XXX-170</t>
  </si>
  <si>
    <t>XXX-171</t>
  </si>
  <si>
    <t>XXX-172</t>
  </si>
  <si>
    <t>XXX-173</t>
  </si>
  <si>
    <t>XXX-174</t>
  </si>
  <si>
    <t>XXX-175</t>
  </si>
  <si>
    <t>XXX-176</t>
  </si>
  <si>
    <t>XXX-177</t>
  </si>
  <si>
    <t>XXX-178</t>
  </si>
  <si>
    <t>XXX-179</t>
  </si>
  <si>
    <t>XXX-180</t>
  </si>
  <si>
    <t>XXX-181</t>
  </si>
  <si>
    <t>XXX-182</t>
  </si>
  <si>
    <t>XXX-183</t>
  </si>
  <si>
    <t>XXX-184</t>
  </si>
  <si>
    <t>XXX-185</t>
  </si>
  <si>
    <t>XXX-186</t>
  </si>
  <si>
    <t>XXX-187</t>
  </si>
  <si>
    <t>XXX-188</t>
  </si>
  <si>
    <t>XXX-189</t>
  </si>
  <si>
    <t>XXX-190</t>
  </si>
  <si>
    <t>XXX-191</t>
  </si>
  <si>
    <t>XXX-192</t>
  </si>
  <si>
    <t>XXX-193</t>
  </si>
  <si>
    <t>XXX-194</t>
  </si>
  <si>
    <t>XXX-195</t>
  </si>
  <si>
    <t>XXX-196</t>
  </si>
  <si>
    <t>XXX-197</t>
  </si>
  <si>
    <t>XXX-198</t>
  </si>
  <si>
    <t>XXX-199</t>
  </si>
  <si>
    <t>XXX-200</t>
  </si>
  <si>
    <t>XXX-201</t>
  </si>
  <si>
    <t>XXX-202</t>
  </si>
  <si>
    <t>XXX-203</t>
  </si>
  <si>
    <t>XXX-204</t>
  </si>
  <si>
    <t>XXX-205</t>
  </si>
  <si>
    <t>XXX-206</t>
  </si>
  <si>
    <t>XXX-207</t>
  </si>
  <si>
    <t>XXX-208</t>
  </si>
  <si>
    <t>XXX-209</t>
  </si>
  <si>
    <t>XXX-210</t>
  </si>
  <si>
    <t>XXX-211</t>
  </si>
  <si>
    <t>XXX-212</t>
  </si>
  <si>
    <t>XXX-213</t>
  </si>
  <si>
    <t>XXX-214</t>
  </si>
  <si>
    <t>XXX-215</t>
  </si>
  <si>
    <t>XXX-216</t>
  </si>
  <si>
    <t>XXX-217</t>
  </si>
  <si>
    <t>XXX-218</t>
  </si>
  <si>
    <t>XXX-219</t>
  </si>
  <si>
    <t>XXX-220</t>
  </si>
  <si>
    <t>XXX-221</t>
  </si>
  <si>
    <t>XXX-222</t>
  </si>
  <si>
    <t>XXX-223</t>
  </si>
  <si>
    <t>XXX-224</t>
  </si>
  <si>
    <t>XXX-225</t>
  </si>
  <si>
    <t>XXX-226</t>
  </si>
  <si>
    <t>XXX-227</t>
  </si>
  <si>
    <t>XXX-228</t>
  </si>
  <si>
    <t>XXX-229</t>
  </si>
  <si>
    <t>XXX-230</t>
  </si>
  <si>
    <t>XXX-231</t>
  </si>
  <si>
    <t>XXX-232</t>
  </si>
  <si>
    <t>XXX-233</t>
  </si>
  <si>
    <t>XXX-234</t>
  </si>
  <si>
    <t>XXX-235</t>
  </si>
  <si>
    <t>XXX-236</t>
  </si>
  <si>
    <t>XXX-237</t>
  </si>
  <si>
    <t>XXX-238</t>
  </si>
  <si>
    <t>XXX-239</t>
  </si>
  <si>
    <t>XXX-240</t>
  </si>
  <si>
    <t>XXX-241</t>
  </si>
  <si>
    <t>XXX-242</t>
  </si>
  <si>
    <t>XXX-243</t>
  </si>
  <si>
    <t>XXX-244</t>
  </si>
  <si>
    <t>XXX-245</t>
  </si>
  <si>
    <t>XXX-246</t>
  </si>
  <si>
    <t>XXX-247</t>
  </si>
  <si>
    <t>XXX-248</t>
  </si>
  <si>
    <t>XXX-249</t>
  </si>
  <si>
    <t>XXX-250</t>
  </si>
  <si>
    <t>XXX-251</t>
  </si>
  <si>
    <t>XXX-252</t>
  </si>
  <si>
    <t>XXX-253</t>
  </si>
  <si>
    <t>XXX-254</t>
  </si>
  <si>
    <t>XXX-255</t>
  </si>
  <si>
    <t>XXX-256</t>
  </si>
  <si>
    <t>XXX-257</t>
  </si>
  <si>
    <t>XXX-258</t>
  </si>
  <si>
    <t>XXX-259</t>
  </si>
  <si>
    <t>XXX-260</t>
  </si>
  <si>
    <t>XXX-261</t>
  </si>
  <si>
    <t>XXX-262</t>
  </si>
  <si>
    <t>XXX-263</t>
  </si>
  <si>
    <t>XXX-264</t>
  </si>
  <si>
    <t>XXX-265</t>
  </si>
  <si>
    <t>XXX-266</t>
  </si>
  <si>
    <t>XXX-267</t>
  </si>
  <si>
    <t>XXX-268</t>
  </si>
  <si>
    <t>XXX-269</t>
  </si>
  <si>
    <t>XXX-270</t>
  </si>
  <si>
    <t>XXX-271</t>
  </si>
  <si>
    <t>XXX-272</t>
  </si>
  <si>
    <t>XXX-273</t>
  </si>
  <si>
    <t>XXX-274</t>
  </si>
  <si>
    <t>XXX-275</t>
  </si>
  <si>
    <t>XXX-276</t>
  </si>
  <si>
    <t>XXX-277</t>
  </si>
  <si>
    <t>XXX-278</t>
  </si>
  <si>
    <t>XXX-279</t>
  </si>
  <si>
    <t>XXX-280</t>
  </si>
  <si>
    <t>XXX-281</t>
  </si>
  <si>
    <t>XXX-282</t>
  </si>
  <si>
    <t>XXX-283</t>
  </si>
  <si>
    <t>XXX-284</t>
  </si>
  <si>
    <t>XXX-285</t>
  </si>
  <si>
    <t>XXX-286</t>
  </si>
  <si>
    <t>XXX-287</t>
  </si>
  <si>
    <t>XXX-288</t>
  </si>
  <si>
    <t>XXX-289</t>
  </si>
  <si>
    <t>XXX-290</t>
  </si>
  <si>
    <t>XXX-291</t>
  </si>
  <si>
    <t>XXX-292</t>
  </si>
  <si>
    <t>XXX-293</t>
  </si>
  <si>
    <t>XXX-294</t>
  </si>
  <si>
    <t>XXX-295</t>
  </si>
  <si>
    <t>XXX-296</t>
  </si>
  <si>
    <t>XXX-297</t>
  </si>
  <si>
    <t>XXX-298</t>
  </si>
  <si>
    <t>XXX-299</t>
  </si>
  <si>
    <t>XXX-300</t>
  </si>
  <si>
    <t>XXX-301</t>
  </si>
  <si>
    <t>XXX-302</t>
  </si>
  <si>
    <t>XXX-303</t>
  </si>
  <si>
    <t>XXX-304</t>
  </si>
  <si>
    <t>XXX-305</t>
  </si>
  <si>
    <t>XXX-306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</si>
</sst>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&quot;Rs. &quot;#,##0"/>
    <numFmt numFmtId="166" formatCode="dd\-mmm\-yyyy"/>
    <numFmt numFmtId="167" formatCode="#,##0.0"/>
    <numFmt numFmtId="168" formatCode="0.0"/>
  </numFmts>
  <fonts count="33" x14ac:knownFonts="1">
    <font>
      <sz val="11"/>
      <color theme="1"/>
      <name val="Calibri"/>
      <family val="2"/>
      <charset val="1"/>
    </font>
    <font>
      <b/>
      <sz val="24"/>
      <color rgb="FFF5F7FA"/>
      <name val="Calibri"/>
      <charset val="1"/>
    </font>
    <font>
      <b/>
      <sz val="9"/>
      <color rgb="FF18D7E8"/>
      <name val="Calibri"/>
      <charset val="1"/>
    </font>
    <font>
      <sz val="9"/>
      <color rgb="FF8B93B8"/>
      <name val="Calibri"/>
      <charset val="1"/>
    </font>
    <font>
      <sz val="10.5"/>
      <color rgb="FF8B93B8"/>
      <name val="Calibri"/>
      <charset val="1"/>
    </font>
    <font>
      <b/>
      <sz val="9"/>
      <color rgb="FF35E0A1"/>
      <name val="Calibri"/>
      <charset val="1"/>
    </font>
    <font>
      <b/>
      <sz val="9"/>
      <color rgb="FFF5F7FA"/>
      <name val="Calibri"/>
      <charset val="1"/>
    </font>
    <font>
      <b/>
      <sz val="11"/>
      <color rgb="FF18D7E8"/>
      <name val="Calibri"/>
      <charset val="1"/>
    </font>
    <font>
      <b/>
      <sz val="11"/>
      <color rgb="FF35E0A1"/>
      <name val="Calibri"/>
      <charset val="1"/>
    </font>
    <font>
      <b/>
      <sz val="11"/>
      <color rgb="FFB85CFF"/>
      <name val="Calibri"/>
      <charset val="1"/>
    </font>
    <font>
      <b/>
      <sz val="8.5"/>
      <color rgb="FF8B93B8"/>
      <name val="Calibri"/>
      <charset val="1"/>
    </font>
    <font>
      <b/>
      <sz val="20"/>
      <color rgb="FFF5F7FA"/>
      <name val="Calibri"/>
      <charset val="1"/>
    </font>
    <font>
      <b/>
      <sz val="8.5"/>
      <color rgb="FF18D7E8"/>
      <name val="Calibri"/>
      <charset val="1"/>
    </font>
    <font>
      <b/>
      <sz val="8.5"/>
      <color rgb="FF35E0A1"/>
      <name val="Calibri"/>
      <charset val="1"/>
    </font>
    <font>
      <b/>
      <sz val="8.5"/>
      <color rgb="FFFF5C7A"/>
      <name val="Calibri"/>
      <charset val="1"/>
    </font>
    <font>
      <b/>
      <sz val="8.5"/>
      <color rgb="FFFFB84D"/>
      <name val="Calibri"/>
      <charset val="1"/>
    </font>
    <font>
      <b/>
      <sz val="8.5"/>
      <color rgb="FFB85CFF"/>
      <name val="Calibri"/>
      <charset val="1"/>
    </font>
    <font>
      <b/>
      <sz val="11"/>
      <color rgb="FFF04FCB"/>
      <name val="Calibri"/>
      <charset val="1"/>
    </font>
    <font>
      <b/>
      <sz val="11"/>
      <color rgb="FFFF5C7A"/>
      <name val="Calibri"/>
      <charset val="1"/>
    </font>
    <font>
      <sz val="10"/>
      <color rgb="FFF5F7FA"/>
      <name val="Calibri"/>
      <charset val="1"/>
    </font>
    <font>
      <sz val="9.5"/>
      <color rgb="FF8B93B8"/>
      <name val="Calibri"/>
      <charset val="1"/>
    </font>
    <font>
      <b/>
      <sz val="13"/>
      <color rgb="FFFF5C7A"/>
      <name val="Calibri"/>
      <charset val="1"/>
    </font>
    <font>
      <b/>
      <sz val="13"/>
      <color rgb="FFFFB84D"/>
      <name val="Calibri"/>
      <charset val="1"/>
    </font>
    <font>
      <b/>
      <sz val="13"/>
      <color rgb="FFFFD98A"/>
      <name val="Calibri"/>
      <charset val="1"/>
    </font>
    <font>
      <b/>
      <sz val="13"/>
      <color rgb="FFF04FCB"/>
      <name val="Calibri"/>
      <charset val="1"/>
    </font>
    <font>
      <u/>
      <sz val="9"/>
      <color rgb="FF18D7E8"/>
      <name val="Calibri"/>
      <charset val="1"/>
    </font>
    <font>
      <b/>
      <sz val="9"/>
      <color rgb="FF8B93B8"/>
      <name val="Calibri"/>
      <charset val="1"/>
    </font>
    <font>
      <sz val="9"/>
      <color rgb="FFF5F7FA"/>
      <name val="Calibri"/>
      <charset val="1"/>
    </font>
    <font>
      <sz val="10"/>
      <color rgb="FF8B93B8"/>
      <name val="Calibri"/>
      <charset val="1"/>
    </font>
    <font>
      <b/>
      <sz val="10"/>
      <color rgb="FFF5F7FA"/>
      <name val="Calibri"/>
      <charset val="1"/>
    </font>
    <font>
      <b/>
      <sz val="8.5"/>
      <color rgb="FFFFD98A"/>
      <name val="Calibri"/>
      <charset val="1"/>
    </font>
    <font>
      <b/>
      <sz val="10"/>
      <color rgb="FF18D7E8"/>
      <name val="Calibri"/>
      <charset val="1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201F45"/>
        <bgColor rgb="FF1B2440"/>
      </patternFill>
    </fill>
    <fill>
      <patternFill patternType="solid">
        <fgColor rgb="FF11182D"/>
        <bgColor rgb="FF151D35"/>
      </patternFill>
    </fill>
    <fill>
      <patternFill patternType="solid">
        <fgColor rgb="FFB85CFF"/>
        <bgColor rgb="FFF04FCB"/>
      </patternFill>
    </fill>
    <fill>
      <patternFill patternType="solid">
        <fgColor rgb="FF0B1020"/>
        <bgColor rgb="FF11182D"/>
      </patternFill>
    </fill>
    <fill>
      <patternFill patternType="solid">
        <fgColor rgb="FF151D35"/>
        <bgColor rgb="FF11182D"/>
      </patternFill>
    </fill>
    <fill>
      <patternFill patternType="solid">
        <fgColor rgb="FF1B2440"/>
        <bgColor rgb="FF201F45"/>
      </patternFill>
    </fill>
  </fills>
  <borders count="34">
    <border>
      <left/>
      <right/>
      <top/>
      <bottom/>
      <diagonal/>
    </border>
    <border>
      <left/>
      <right/>
      <top/>
      <bottom style="thin">
        <color rgb="FF18D7E8"/>
      </bottom>
      <diagonal/>
    </border>
    <border>
      <left/>
      <right/>
      <top/>
      <bottom style="thin">
        <color rgb="FF35E0A1"/>
      </bottom>
      <diagonal/>
    </border>
    <border>
      <left/>
      <right/>
      <top/>
      <bottom style="thin">
        <color rgb="FFB85CFF"/>
      </bottom>
      <diagonal/>
    </border>
    <border>
      <left style="thin">
        <color rgb="FF2A3459"/>
      </left>
      <right/>
      <top style="thin">
        <color rgb="FF18D7E8"/>
      </top>
      <bottom/>
      <diagonal/>
    </border>
    <border>
      <left style="thin">
        <color rgb="FF2A3459"/>
      </left>
      <right/>
      <top style="thin">
        <color rgb="FF35E0A1"/>
      </top>
      <bottom/>
      <diagonal/>
    </border>
    <border>
      <left style="thin">
        <color rgb="FF2A3459"/>
      </left>
      <right/>
      <top style="thin">
        <color rgb="FFFF5C7A"/>
      </top>
      <bottom/>
      <diagonal/>
    </border>
    <border>
      <left style="thin">
        <color rgb="FF2A3459"/>
      </left>
      <right/>
      <top style="thin">
        <color rgb="FFFFB84D"/>
      </top>
      <bottom/>
      <diagonal/>
    </border>
    <border>
      <left style="thin">
        <color rgb="FF2A3459"/>
      </left>
      <right/>
      <top/>
      <bottom/>
      <diagonal/>
    </border>
    <border>
      <left style="thin">
        <color rgb="FF2A3459"/>
      </left>
      <right/>
      <top/>
      <bottom style="thin">
        <color rgb="FF2A3459"/>
      </bottom>
      <diagonal/>
    </border>
    <border>
      <left style="thin">
        <color rgb="FF2A3459"/>
      </left>
      <right/>
      <top style="thin">
        <color rgb="FFB85CFF"/>
      </top>
      <bottom/>
      <diagonal/>
    </border>
    <border>
      <left/>
      <right/>
      <top/>
      <bottom style="thin">
        <color rgb="FFF04FCB"/>
      </bottom>
      <diagonal/>
    </border>
    <border>
      <left/>
      <right/>
      <top/>
      <bottom style="thin">
        <color rgb="FFFF5C7A"/>
      </bottom>
      <diagonal/>
    </border>
    <border>
      <left style="thin">
        <color rgb="FF18D7E8"/>
      </left>
      <right/>
      <top/>
      <bottom/>
      <diagonal/>
    </border>
    <border>
      <left style="thin">
        <color rgb="FFFF5C7A"/>
      </left>
      <right/>
      <top/>
      <bottom/>
      <diagonal/>
    </border>
    <border>
      <left style="thin">
        <color rgb="FF35E0A1"/>
      </left>
      <right/>
      <top/>
      <bottom/>
      <diagonal/>
    </border>
    <border>
      <left style="thin">
        <color rgb="FFFFB84D"/>
      </left>
      <right/>
      <top/>
      <bottom/>
      <diagonal/>
    </border>
    <border>
      <left style="thin">
        <color rgb="FFB85CFF"/>
      </left>
      <right/>
      <top/>
      <bottom/>
      <diagonal/>
    </border>
    <border>
      <left style="thin">
        <color rgb="FFFFD98A"/>
      </left>
      <right/>
      <top/>
      <bottom/>
      <diagonal/>
    </border>
    <border>
      <left style="thin">
        <color rgb="FFF04FCB"/>
      </left>
      <right/>
      <top/>
      <bottom/>
      <diagonal/>
    </border>
    <border>
      <left style="thin">
        <color rgb="FF2A3459"/>
      </left>
      <right style="thin">
        <color rgb="FF2A3459"/>
      </right>
      <top style="thin">
        <color rgb="FF2A3459"/>
      </top>
      <bottom style="thin">
        <color rgb="FF2A3459"/>
      </bottom>
      <diagonal/>
    </border>
    <border>
      <left style="thin">
        <color rgb="FF2A3459"/>
      </left>
      <right style="thin">
        <color rgb="FF2A3459"/>
      </right>
      <top style="thin">
        <color rgb="FF2A3459"/>
      </top>
      <bottom style="medium">
        <color rgb="FFB85CFF"/>
      </bottom>
      <diagonal/>
    </border>
    <border>
      <left style="thin">
        <color rgb="FF2A3459"/>
      </left>
      <right/>
      <top style="thin">
        <color rgb="FFFFD98A"/>
      </top>
      <bottom/>
      <diagonal/>
    </border>
    <border>
      <left/>
      <right style="thin">
        <color rgb="FF2A3459"/>
      </right>
      <top/>
      <bottom/>
      <diagonal/>
    </border>
    <border>
      <left/>
      <right style="thin">
        <color rgb="FF2A3459"/>
      </right>
      <top style="thin">
        <color rgb="FFB85CFF"/>
      </top>
      <bottom/>
      <diagonal/>
    </border>
    <border>
      <left/>
      <right style="thin">
        <color rgb="FF2A3459"/>
      </right>
      <top/>
      <bottom style="thin">
        <color rgb="FF2A3459"/>
      </bottom>
      <diagonal/>
    </border>
    <border>
      <left/>
      <right/>
      <top style="thin">
        <color rgb="FFFFB84D"/>
      </top>
      <bottom/>
      <diagonal/>
    </border>
    <border>
      <left/>
      <right style="thin">
        <color rgb="FF2A3459"/>
      </right>
      <top style="thin">
        <color rgb="FFFFB84D"/>
      </top>
      <bottom/>
      <diagonal/>
    </border>
    <border>
      <left/>
      <right/>
      <top/>
      <bottom style="thin">
        <color rgb="FF2A3459"/>
      </bottom>
      <diagonal/>
    </border>
    <border>
      <left/>
      <right/>
      <top style="thin">
        <color rgb="FF18D7E8"/>
      </top>
      <bottom/>
      <diagonal/>
    </border>
    <border>
      <left/>
      <right/>
      <top style="thin">
        <color rgb="FFB85CFF"/>
      </top>
      <bottom/>
      <diagonal/>
    </border>
    <border>
      <left/>
      <right style="thin">
        <color rgb="FF2A3459"/>
      </right>
      <top style="thin">
        <color rgb="FF18D7E8"/>
      </top>
      <bottom/>
      <diagonal/>
    </border>
    <border>
      <left/>
      <right style="thin">
        <color rgb="FF2A3459"/>
      </right>
      <top style="thin">
        <color rgb="FF35E0A1"/>
      </top>
      <bottom/>
      <diagonal/>
    </border>
    <border>
      <left/>
      <right/>
      <top style="thin">
        <color rgb="FFFF5C7A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6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/>
    <xf numFmtId="0" fontId="0" fillId="5" borderId="0" xfId="0" applyFill="1"/>
    <xf numFmtId="0" fontId="14" fillId="6" borderId="9" xfId="0" applyFont="1" applyFill="1" applyBorder="1" applyAlignment="1">
      <alignment horizontal="left" vertical="center" indent="1"/>
    </xf>
    <xf numFmtId="0" fontId="26" fillId="5" borderId="0" xfId="0" applyFont="1" applyFill="1"/>
    <xf numFmtId="0" fontId="27" fillId="5" borderId="0" xfId="0" applyFont="1" applyFill="1"/>
    <xf numFmtId="0" fontId="29" fillId="7" borderId="0" xfId="0" applyFont="1" applyFill="1"/>
    <xf numFmtId="0" fontId="19" fillId="6" borderId="20" xfId="0" applyFont="1" applyFill="1" applyBorder="1" applyAlignment="1">
      <alignment horizontal="left" vertical="center"/>
    </xf>
    <xf numFmtId="18" fontId="19" fillId="6" borderId="20" xfId="0" applyNumberFormat="1" applyFont="1" applyFill="1" applyBorder="1" applyAlignment="1">
      <alignment horizontal="right" vertical="center"/>
    </xf>
    <xf numFmtId="1" fontId="19" fillId="6" borderId="20" xfId="0" applyNumberFormat="1" applyFont="1" applyFill="1" applyBorder="1" applyAlignment="1">
      <alignment horizontal="right" vertical="center"/>
    </xf>
    <xf numFmtId="9" fontId="19" fillId="6" borderId="20" xfId="0" applyNumberFormat="1" applyFont="1" applyFill="1" applyBorder="1" applyAlignment="1">
      <alignment horizontal="right" vertical="center"/>
    </xf>
    <xf numFmtId="10" fontId="19" fillId="6" borderId="20" xfId="0" applyNumberFormat="1" applyFont="1" applyFill="1" applyBorder="1" applyAlignment="1">
      <alignment horizontal="right" vertical="center"/>
    </xf>
    <xf numFmtId="3" fontId="19" fillId="6" borderId="20" xfId="0" applyNumberFormat="1" applyFont="1" applyFill="1" applyBorder="1" applyAlignment="1">
      <alignment horizontal="right" vertical="center"/>
    </xf>
    <xf numFmtId="0" fontId="29" fillId="7" borderId="21" xfId="0" applyFont="1" applyFill="1" applyBorder="1" applyAlignment="1">
      <alignment horizontal="center" vertical="center" wrapText="1"/>
    </xf>
    <xf numFmtId="0" fontId="19" fillId="6" borderId="20" xfId="0" applyFont="1" applyFill="1" applyBorder="1" applyAlignment="1">
      <alignment horizontal="center" vertical="center"/>
    </xf>
    <xf numFmtId="166" fontId="19" fillId="6" borderId="20" xfId="0" applyNumberFormat="1" applyFont="1" applyFill="1" applyBorder="1" applyAlignment="1">
      <alignment horizontal="left" vertical="center"/>
    </xf>
    <xf numFmtId="166" fontId="19" fillId="6" borderId="20" xfId="0" applyNumberFormat="1" applyFont="1" applyFill="1" applyBorder="1" applyAlignment="1">
      <alignment horizontal="center" vertical="center"/>
    </xf>
    <xf numFmtId="18" fontId="19" fillId="6" borderId="20" xfId="0" applyNumberFormat="1" applyFont="1" applyFill="1" applyBorder="1" applyAlignment="1">
      <alignment horizontal="center" vertical="center"/>
    </xf>
    <xf numFmtId="3" fontId="19" fillId="6" borderId="20" xfId="0" applyNumberFormat="1" applyFont="1" applyFill="1" applyBorder="1" applyAlignment="1">
      <alignment horizontal="center" vertical="center"/>
    </xf>
    <xf numFmtId="9" fontId="19" fillId="6" borderId="20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3" fontId="11" fillId="6" borderId="8" xfId="0" applyNumberFormat="1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2" borderId="0" xfId="0" applyFont="1" applyFill="1" applyAlignment="1">
      <alignment horizontal="left" vertical="center" indent="2"/>
    </xf>
    <xf numFmtId="0" fontId="28" fillId="3" borderId="0" xfId="0" applyFont="1" applyFill="1" applyAlignment="1">
      <alignment horizontal="left" vertical="center" indent="2"/>
    </xf>
    <xf numFmtId="0" fontId="10" fillId="6" borderId="4" xfId="0" applyFont="1" applyFill="1" applyBorder="1" applyAlignment="1">
      <alignment horizontal="left" vertical="center" indent="1"/>
    </xf>
    <xf numFmtId="0" fontId="10" fillId="6" borderId="5" xfId="0" applyFont="1" applyFill="1" applyBorder="1" applyAlignment="1">
      <alignment horizontal="left" vertical="center" indent="1"/>
    </xf>
    <xf numFmtId="0" fontId="10" fillId="6" borderId="6" xfId="0" applyFont="1" applyFill="1" applyBorder="1" applyAlignment="1">
      <alignment horizontal="left" vertical="center" indent="1"/>
    </xf>
    <xf numFmtId="0" fontId="10" fillId="6" borderId="10" xfId="0" applyFont="1" applyFill="1" applyBorder="1" applyAlignment="1">
      <alignment horizontal="left" vertical="center" indent="1"/>
    </xf>
    <xf numFmtId="3" fontId="11" fillId="6" borderId="8" xfId="0" applyNumberFormat="1" applyFont="1" applyFill="1" applyBorder="1" applyAlignment="1">
      <alignment horizontal="left" vertical="center" indent="1"/>
    </xf>
    <xf numFmtId="0" fontId="12" fillId="6" borderId="9" xfId="0" applyFont="1" applyFill="1" applyBorder="1" applyAlignment="1">
      <alignment horizontal="left" vertical="center" indent="1"/>
    </xf>
    <xf numFmtId="0" fontId="13" fillId="6" borderId="9" xfId="0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left" vertical="center" indent="1"/>
    </xf>
    <xf numFmtId="0" fontId="16" fillId="6" borderId="9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 indent="2"/>
    </xf>
    <xf numFmtId="0" fontId="2" fillId="2" borderId="0" xfId="0" applyFont="1" applyFill="1" applyAlignment="1">
      <alignment horizontal="right" vertical="center" indent="1"/>
    </xf>
    <xf numFmtId="0" fontId="3" fillId="2" borderId="0" xfId="0" applyFont="1" applyFill="1" applyAlignment="1">
      <alignment horizontal="right" vertical="center" indent="1"/>
    </xf>
    <xf numFmtId="0" fontId="4" fillId="3" borderId="0" xfId="0" applyFont="1" applyFill="1" applyAlignment="1">
      <alignment horizontal="left" vertical="center" indent="2"/>
    </xf>
    <xf numFmtId="0" fontId="5" fillId="3" borderId="0" xfId="0" applyFont="1" applyFill="1" applyAlignment="1">
      <alignment horizontal="right" vertical="center" indent="1"/>
    </xf>
    <xf numFmtId="0" fontId="7" fillId="5" borderId="1" xfId="0" applyFont="1" applyFill="1" applyBorder="1" applyAlignment="1">
      <alignment horizontal="left" vertical="center" indent="1"/>
    </xf>
    <xf numFmtId="0" fontId="8" fillId="5" borderId="2" xfId="0" applyFont="1" applyFill="1" applyBorder="1" applyAlignment="1">
      <alignment horizontal="left" vertical="center" indent="1"/>
    </xf>
    <xf numFmtId="0" fontId="9" fillId="5" borderId="3" xfId="0" applyFont="1" applyFill="1" applyBorder="1" applyAlignment="1">
      <alignment horizontal="left" vertical="center" indent="1"/>
    </xf>
    <xf numFmtId="0" fontId="10" fillId="6" borderId="7" xfId="0" applyFont="1" applyFill="1" applyBorder="1" applyAlignment="1">
      <alignment horizontal="left" vertical="center" indent="1"/>
    </xf>
    <xf numFmtId="0" fontId="15" fillId="6" borderId="9" xfId="0" applyFont="1" applyFill="1" applyBorder="1" applyAlignment="1">
      <alignment horizontal="left" vertical="center" indent="1"/>
    </xf>
    <xf numFmtId="164" fontId="11" fillId="6" borderId="8" xfId="0" applyNumberFormat="1" applyFont="1" applyFill="1" applyBorder="1" applyAlignment="1">
      <alignment horizontal="left" vertical="center" indent="1"/>
    </xf>
    <xf numFmtId="165" fontId="11" fillId="6" borderId="8" xfId="0" applyNumberFormat="1" applyFont="1" applyFill="1" applyBorder="1" applyAlignment="1">
      <alignment horizontal="left" vertical="center" indent="1"/>
    </xf>
    <xf numFmtId="9" fontId="11" fillId="6" borderId="8" xfId="0" applyNumberFormat="1" applyFont="1" applyFill="1" applyBorder="1" applyAlignment="1">
      <alignment horizontal="left" vertical="center" indent="1"/>
    </xf>
    <xf numFmtId="0" fontId="17" fillId="5" borderId="11" xfId="0" applyFont="1" applyFill="1" applyBorder="1" applyAlignment="1">
      <alignment horizontal="left" vertical="center" indent="1"/>
    </xf>
    <xf numFmtId="0" fontId="18" fillId="5" borderId="12" xfId="0" applyFont="1" applyFill="1" applyBorder="1" applyAlignment="1">
      <alignment horizontal="left" vertical="center" indent="1"/>
    </xf>
    <xf numFmtId="0" fontId="19" fillId="6" borderId="13" xfId="0" applyFont="1" applyFill="1" applyBorder="1" applyAlignment="1">
      <alignment horizontal="left" vertical="center" wrapText="1" indent="1"/>
    </xf>
    <xf numFmtId="0" fontId="20" fillId="6" borderId="14" xfId="0" applyFont="1" applyFill="1" applyBorder="1" applyAlignment="1">
      <alignment horizontal="left" vertical="center" indent="1"/>
    </xf>
    <xf numFmtId="0" fontId="21" fillId="6" borderId="0" xfId="0" applyFont="1" applyFill="1" applyAlignment="1">
      <alignment horizontal="center" vertical="center"/>
    </xf>
    <xf numFmtId="0" fontId="19" fillId="6" borderId="15" xfId="0" applyFont="1" applyFill="1" applyBorder="1" applyAlignment="1">
      <alignment horizontal="left" vertical="center" wrapText="1" indent="1"/>
    </xf>
    <xf numFmtId="0" fontId="20" fillId="6" borderId="16" xfId="0" applyFont="1" applyFill="1" applyBorder="1" applyAlignment="1">
      <alignment horizontal="left" vertical="center" indent="1"/>
    </xf>
    <xf numFmtId="0" fontId="22" fillId="6" borderId="0" xfId="0" applyFont="1" applyFill="1" applyAlignment="1">
      <alignment horizontal="center" vertical="center"/>
    </xf>
    <xf numFmtId="0" fontId="25" fillId="5" borderId="0" xfId="0" applyFont="1" applyFill="1" applyAlignment="1">
      <alignment horizontal="left" vertical="center" indent="1"/>
    </xf>
    <xf numFmtId="0" fontId="19" fillId="6" borderId="17" xfId="0" applyFont="1" applyFill="1" applyBorder="1" applyAlignment="1">
      <alignment horizontal="left" vertical="center" wrapText="1" indent="1"/>
    </xf>
    <xf numFmtId="0" fontId="20" fillId="6" borderId="18" xfId="0" applyFont="1" applyFill="1" applyBorder="1" applyAlignment="1">
      <alignment horizontal="left" vertical="center" indent="1"/>
    </xf>
    <xf numFmtId="0" fontId="23" fillId="6" borderId="0" xfId="0" applyFont="1" applyFill="1" applyAlignment="1">
      <alignment horizontal="center" vertical="center"/>
    </xf>
    <xf numFmtId="0" fontId="19" fillId="6" borderId="14" xfId="0" applyFont="1" applyFill="1" applyBorder="1" applyAlignment="1">
      <alignment horizontal="left" vertical="center" wrapText="1" indent="1"/>
    </xf>
    <xf numFmtId="0" fontId="20" fillId="6" borderId="19" xfId="0" applyFont="1" applyFill="1" applyBorder="1" applyAlignment="1">
      <alignment horizontal="left" vertical="center" indent="1"/>
    </xf>
    <xf numFmtId="0" fontId="24" fillId="6" borderId="0" xfId="0" applyFont="1" applyFill="1" applyAlignment="1">
      <alignment horizontal="center" vertical="center"/>
    </xf>
    <xf numFmtId="3" fontId="11" fillId="6" borderId="8" xfId="0" applyNumberFormat="1" applyFont="1" applyFill="1" applyBorder="1" applyAlignment="1">
      <alignment horizontal="center" vertical="center"/>
    </xf>
    <xf numFmtId="3" fontId="11" fillId="6" borderId="23" xfId="0" applyNumberFormat="1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5" fillId="6" borderId="25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31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33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26" xfId="0" applyFont="1" applyFill="1" applyBorder="1" applyAlignment="1">
      <alignment horizontal="center" vertical="center"/>
    </xf>
    <xf numFmtId="164" fontId="11" fillId="6" borderId="8" xfId="0" applyNumberFormat="1" applyFont="1" applyFill="1" applyBorder="1" applyAlignment="1">
      <alignment horizontal="center" vertical="center"/>
    </xf>
    <xf numFmtId="164" fontId="11" fillId="6" borderId="23" xfId="0" applyNumberFormat="1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2" fillId="6" borderId="25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25" xfId="0" applyFont="1" applyFill="1" applyBorder="1" applyAlignment="1">
      <alignment horizontal="center" vertical="center"/>
    </xf>
    <xf numFmtId="167" fontId="11" fillId="6" borderId="8" xfId="0" applyNumberFormat="1" applyFont="1" applyFill="1" applyBorder="1" applyAlignment="1">
      <alignment horizontal="left" vertical="center" indent="1"/>
    </xf>
    <xf numFmtId="168" fontId="11" fillId="6" borderId="8" xfId="0" applyNumberFormat="1" applyFont="1" applyFill="1" applyBorder="1" applyAlignment="1">
      <alignment horizontal="left" vertical="center" indent="1"/>
    </xf>
    <xf numFmtId="0" fontId="10" fillId="6" borderId="5" xfId="0" applyFont="1" applyFill="1" applyBorder="1" applyAlignment="1">
      <alignment horizontal="center" vertical="center"/>
    </xf>
    <xf numFmtId="0" fontId="10" fillId="6" borderId="32" xfId="0" applyFont="1" applyFill="1" applyBorder="1" applyAlignment="1">
      <alignment horizontal="center" vertical="center"/>
    </xf>
    <xf numFmtId="0" fontId="10" fillId="6" borderId="27" xfId="0" applyFont="1" applyFill="1" applyBorder="1" applyAlignment="1">
      <alignment horizontal="center" vertical="center"/>
    </xf>
    <xf numFmtId="9" fontId="11" fillId="6" borderId="8" xfId="0" applyNumberFormat="1" applyFont="1" applyFill="1" applyBorder="1" applyAlignment="1">
      <alignment horizontal="center" vertical="center"/>
    </xf>
    <xf numFmtId="9" fontId="11" fillId="6" borderId="23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13" fillId="6" borderId="25" xfId="0" applyFont="1" applyFill="1" applyBorder="1" applyAlignment="1">
      <alignment horizontal="center" vertical="center"/>
    </xf>
    <xf numFmtId="0" fontId="10" fillId="6" borderId="22" xfId="0" applyFont="1" applyFill="1" applyBorder="1" applyAlignment="1">
      <alignment horizontal="left" vertical="center" indent="1"/>
    </xf>
    <xf numFmtId="0" fontId="30" fillId="6" borderId="9" xfId="0" applyFont="1" applyFill="1" applyBorder="1" applyAlignment="1">
      <alignment horizontal="left" vertical="center" indent="1"/>
    </xf>
    <xf numFmtId="165" fontId="11" fillId="6" borderId="8" xfId="0" applyNumberFormat="1" applyFont="1" applyFill="1" applyBorder="1" applyAlignment="1">
      <alignment horizontal="left" vertical="center"/>
    </xf>
    <xf numFmtId="165" fontId="11" fillId="6" borderId="23" xfId="0" applyNumberFormat="1" applyFont="1" applyFill="1" applyBorder="1" applyAlignment="1">
      <alignment horizontal="left" vertical="center"/>
    </xf>
    <xf numFmtId="0" fontId="12" fillId="6" borderId="9" xfId="0" applyFont="1" applyFill="1" applyBorder="1" applyAlignment="1">
      <alignment horizontal="left" vertical="center"/>
    </xf>
    <xf numFmtId="0" fontId="12" fillId="6" borderId="25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horizontal="left" vertical="center"/>
    </xf>
    <xf numFmtId="0" fontId="10" fillId="6" borderId="29" xfId="0" applyFont="1" applyFill="1" applyBorder="1" applyAlignment="1">
      <alignment horizontal="left" vertical="center"/>
    </xf>
    <xf numFmtId="0" fontId="10" fillId="6" borderId="26" xfId="0" applyFont="1" applyFill="1" applyBorder="1" applyAlignment="1">
      <alignment horizontal="left" vertical="center" indent="1"/>
    </xf>
    <xf numFmtId="0" fontId="10" fillId="6" borderId="27" xfId="0" applyFont="1" applyFill="1" applyBorder="1" applyAlignment="1">
      <alignment horizontal="left" vertical="center" indent="1"/>
    </xf>
    <xf numFmtId="165" fontId="11" fillId="6" borderId="0" xfId="0" applyNumberFormat="1" applyFont="1" applyFill="1" applyAlignment="1">
      <alignment horizontal="left" vertical="center" indent="1"/>
    </xf>
    <xf numFmtId="165" fontId="11" fillId="6" borderId="23" xfId="0" applyNumberFormat="1" applyFont="1" applyFill="1" applyBorder="1" applyAlignment="1">
      <alignment horizontal="left" vertical="center" indent="1"/>
    </xf>
    <xf numFmtId="0" fontId="15" fillId="6" borderId="28" xfId="0" applyFont="1" applyFill="1" applyBorder="1" applyAlignment="1">
      <alignment horizontal="left" vertical="center" indent="1"/>
    </xf>
    <xf numFmtId="0" fontId="15" fillId="6" borderId="25" xfId="0" applyFont="1" applyFill="1" applyBorder="1" applyAlignment="1">
      <alignment horizontal="left" vertical="center" indent="1"/>
    </xf>
    <xf numFmtId="165" fontId="11" fillId="6" borderId="0" xfId="0" applyNumberFormat="1" applyFont="1" applyFill="1" applyAlignment="1">
      <alignment horizontal="left" vertical="center"/>
    </xf>
    <xf numFmtId="0" fontId="10" fillId="6" borderId="10" xfId="0" applyFont="1" applyFill="1" applyBorder="1" applyAlignment="1">
      <alignment horizontal="left" vertical="center"/>
    </xf>
    <xf numFmtId="0" fontId="10" fillId="6" borderId="30" xfId="0" applyFont="1" applyFill="1" applyBorder="1" applyAlignment="1">
      <alignment horizontal="left" vertical="center"/>
    </xf>
    <xf numFmtId="0" fontId="10" fillId="6" borderId="24" xfId="0" applyFont="1" applyFill="1" applyBorder="1" applyAlignment="1">
      <alignment horizontal="left" vertical="center"/>
    </xf>
    <xf numFmtId="0" fontId="31" fillId="6" borderId="8" xfId="0" applyFont="1" applyFill="1" applyBorder="1" applyAlignment="1">
      <alignment horizontal="left" vertical="top" wrapText="1" indent="1"/>
    </xf>
    <xf numFmtId="0" fontId="19" fillId="6" borderId="0" xfId="0" applyFont="1" applyFill="1" applyAlignment="1">
      <alignment horizontal="left" vertical="top" wrapText="1" indent="1"/>
    </xf>
  </cellXfs>
  <cellStyles count="1">
    <cellStyle name="Normal" xfId="0" builtinId="0"/>
  </cellStyles>
  <dxfs count="38">
    <dxf>
      <font>
        <b/>
        <color rgb="FF35E0A1"/>
      </font>
    </dxf>
    <dxf>
      <font>
        <b/>
        <color rgb="FFFF5C7A"/>
      </font>
    </dxf>
    <dxf>
      <fill>
        <patternFill>
          <bgColor rgb="FF1B2440"/>
        </patternFill>
      </fill>
    </dxf>
    <dxf>
      <font>
        <b/>
        <color rgb="FF8B93B8"/>
      </font>
    </dxf>
    <dxf>
      <font>
        <b/>
        <color rgb="FF35E0A1"/>
      </font>
    </dxf>
    <dxf>
      <font>
        <b/>
        <color rgb="FFFFD98A"/>
      </font>
    </dxf>
    <dxf>
      <font>
        <b/>
        <color rgb="FFFFB84D"/>
      </font>
      <fill>
        <patternFill>
          <bgColor rgb="FF3B2A15"/>
        </patternFill>
      </fill>
    </dxf>
    <dxf>
      <font>
        <b/>
        <color rgb="FFFF5C7A"/>
      </font>
      <fill>
        <patternFill>
          <bgColor rgb="FF3B1826"/>
        </patternFill>
      </fill>
    </dxf>
    <dxf>
      <fill>
        <patternFill>
          <bgColor rgb="FF1B2440"/>
        </patternFill>
      </fill>
    </dxf>
    <dxf>
      <font>
        <b/>
        <color rgb="FFFF5C7A"/>
      </font>
    </dxf>
    <dxf>
      <font>
        <b/>
        <color rgb="FFFFB84D"/>
      </font>
    </dxf>
    <dxf>
      <font>
        <b/>
        <color rgb="FF35E0A1"/>
      </font>
    </dxf>
    <dxf>
      <font>
        <b/>
        <color rgb="FFF04FCB"/>
      </font>
    </dxf>
    <dxf>
      <font>
        <b/>
        <color rgb="FFFF5C7A"/>
      </font>
    </dxf>
    <dxf>
      <font>
        <b/>
        <color rgb="FFFFB84D"/>
      </font>
    </dxf>
    <dxf>
      <font>
        <b/>
        <color rgb="FF35E0A1"/>
      </font>
    </dxf>
    <dxf>
      <fill>
        <patternFill>
          <bgColor rgb="FF1B2440"/>
        </patternFill>
      </fill>
    </dxf>
    <dxf>
      <font>
        <b/>
        <color rgb="FFFFB84D"/>
      </font>
    </dxf>
    <dxf>
      <font>
        <b/>
        <color rgb="FF35E0A1"/>
      </font>
    </dxf>
    <dxf>
      <fill>
        <patternFill>
          <bgColor rgb="FF1B2440"/>
        </patternFill>
      </fill>
    </dxf>
    <dxf>
      <font>
        <b/>
        <color rgb="FFFF5C7A"/>
      </font>
    </dxf>
    <dxf>
      <font>
        <b/>
        <color rgb="FFFFB84D"/>
      </font>
    </dxf>
    <dxf>
      <font>
        <b/>
        <color rgb="FF35E0A1"/>
      </font>
    </dxf>
    <dxf>
      <fill>
        <patternFill>
          <bgColor rgb="FF1B2440"/>
        </patternFill>
      </fill>
    </dxf>
    <dxf>
      <font>
        <b/>
        <color rgb="FFFFB84D"/>
      </font>
    </dxf>
    <dxf>
      <font>
        <b/>
        <color rgb="FFFFB84D"/>
      </font>
    </dxf>
    <dxf>
      <font>
        <b/>
        <color rgb="FFFF5C7A"/>
      </font>
    </dxf>
    <dxf>
      <font>
        <b/>
        <color rgb="FFF04FCB"/>
      </font>
    </dxf>
    <dxf>
      <font>
        <b/>
        <color rgb="FFB85CFF"/>
      </font>
    </dxf>
    <dxf>
      <font>
        <b/>
        <color rgb="FFFFB84D"/>
      </font>
    </dxf>
    <dxf>
      <font>
        <b/>
        <color rgb="FF4D8DFF"/>
      </font>
    </dxf>
    <dxf>
      <font>
        <b/>
        <color rgb="FFFF5C7A"/>
      </font>
    </dxf>
    <dxf>
      <font>
        <b/>
        <color rgb="FF35E0A1"/>
      </font>
    </dxf>
    <dxf>
      <fill>
        <patternFill>
          <bgColor rgb="FF1B2440"/>
        </patternFill>
      </fill>
    </dxf>
    <dxf>
      <font>
        <b/>
        <color rgb="FFFF5C7A"/>
      </font>
      <fill>
        <patternFill>
          <bgColor rgb="FF3B1826"/>
        </patternFill>
      </fill>
    </dxf>
    <dxf>
      <font>
        <b/>
        <color rgb="FFFFB84D"/>
      </font>
      <fill>
        <patternFill>
          <bgColor rgb="FF3B3115"/>
        </patternFill>
      </fill>
    </dxf>
    <dxf>
      <font>
        <b/>
        <color rgb="FF35E0A1"/>
      </font>
      <fill>
        <patternFill>
          <bgColor rgb="FF173B2E"/>
        </patternFill>
      </fill>
    </dxf>
    <dxf>
      <fill>
        <patternFill>
          <bgColor rgb="FF1B2440"/>
        </patternFill>
      </fill>
    </dxf>
  </dxfs>
  <tableStyles count="0" defaultTableStyle="TableStyleMedium2" defaultPivotStyle="PivotStyleLight16"/>
  <colors>
    <indexedColors>
      <rgbColor rgb="FF000000"/>
      <rgbColor rgb="FFF5F7FA"/>
      <rgbColor rgb="FFFF0000"/>
      <rgbColor rgb="FF00FF00"/>
      <rgbColor rgb="FF0000FF"/>
      <rgbColor rgb="FFFFFF00"/>
      <rgbColor rgb="FFFF00FF"/>
      <rgbColor rgb="FF00FFFF"/>
      <rgbColor rgb="FF151D35"/>
      <rgbColor rgb="FF008000"/>
      <rgbColor rgb="FF11182D"/>
      <rgbColor rgb="FF808000"/>
      <rgbColor rgb="FF201F45"/>
      <rgbColor rgb="FF008080"/>
      <rgbColor rgb="FFC0C0C0"/>
      <rgbColor rgb="FF808080"/>
      <rgbColor rgb="FF9999FF"/>
      <rgbColor rgb="FF993366"/>
      <rgbColor rgb="FFFFFFCC"/>
      <rgbColor rgb="FFCCFFFF"/>
      <rgbColor rgb="FF3B1826"/>
      <rgbColor rgb="FFFF5C7A"/>
      <rgbColor rgb="FF0066CC"/>
      <rgbColor rgb="FFCCCCFF"/>
      <rgbColor rgb="FF0B1020"/>
      <rgbColor rgb="FFFF00FF"/>
      <rgbColor rgb="FFFFFF00"/>
      <rgbColor rgb="FF00FFFF"/>
      <rgbColor rgb="FF800080"/>
      <rgbColor rgb="FF800000"/>
      <rgbColor rgb="FF008080"/>
      <rgbColor rgb="FF0000FF"/>
      <rgbColor rgb="FF18D7E8"/>
      <rgbColor rgb="FFCCFFFF"/>
      <rgbColor rgb="FFCCFFCC"/>
      <rgbColor rgb="FFFFFF99"/>
      <rgbColor rgb="FF99CCFF"/>
      <rgbColor rgb="FFF04FCB"/>
      <rgbColor rgb="FFB85CFF"/>
      <rgbColor rgb="FFFFD98A"/>
      <rgbColor rgb="FF4D8DFF"/>
      <rgbColor rgb="FF35E0A1"/>
      <rgbColor rgb="FF99CC00"/>
      <rgbColor rgb="FFFFB84D"/>
      <rgbColor rgb="FFFF9900"/>
      <rgbColor rgb="FFFF6600"/>
      <rgbColor rgb="FF4F81BD"/>
      <rgbColor rgb="FF8B93B8"/>
      <rgbColor rgb="FF1B2440"/>
      <rgbColor rgb="FF339966"/>
      <rgbColor rgb="FF173B2E"/>
      <rgbColor rgb="FF3B3115"/>
      <rgbColor rgb="FF993300"/>
      <rgbColor rgb="FF993366"/>
      <rgbColor rgb="FF2A3459"/>
      <rgbColor rgb="FF3B2A1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'HR Command Center'!$C$62</c:f>
              <c:strCache>
                <c:ptCount val="1"/>
                <c:pt idx="0">
                  <c:v>New Joiners</c:v>
                </c:pt>
              </c:strCache>
            </c:strRef>
          </c:tx>
          <c:spPr>
            <a:ln w="21960">
              <a:solidFill>
                <a:srgbClr val="35E0A1"/>
              </a:solidFill>
              <a:round/>
            </a:ln>
          </c:spPr>
          <c:marker>
            <c:symbol val="circle"/>
            <c:size val="5"/>
            <c:spPr>
              <a:solidFill>
                <a:srgbClr val="35E0A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'HR Command Center'!$B$63:$B$68</c:f>
              <c:strCache>
                <c:ptCount val="6"/>
                <c:pt idx="0">
                  <c:v>Mar-26</c:v>
                </c:pt>
                <c:pt idx="1">
                  <c:v>Apr-26</c:v>
                </c:pt>
                <c:pt idx="2">
                  <c:v>May-26</c:v>
                </c:pt>
                <c:pt idx="3">
                  <c:v>Jun-26</c:v>
                </c:pt>
                <c:pt idx="4">
                  <c:v>Jul-26</c:v>
                </c:pt>
                <c:pt idx="5">
                  <c:v>Aug-26</c:v>
                </c:pt>
              </c:strCache>
            </c:strRef>
          </c:cat>
          <c:val>
            <c:numRef>
              <c:f>'HR Command Center'!$C$63:$C$68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9F-4154-8C71-8FD0861E5126}"/>
            </c:ext>
          </c:extLst>
        </c:ser>
        <c:ser>
          <c:idx val="1"/>
          <c:order val="1"/>
          <c:tx>
            <c:strRef>
              <c:f>'HR Command Center'!$D$62</c:f>
              <c:strCache>
                <c:ptCount val="1"/>
                <c:pt idx="0">
                  <c:v>Exits</c:v>
                </c:pt>
              </c:strCache>
            </c:strRef>
          </c:tx>
          <c:spPr>
            <a:ln w="21960">
              <a:solidFill>
                <a:srgbClr val="FF5C7A"/>
              </a:solidFill>
              <a:round/>
            </a:ln>
          </c:spPr>
          <c:marker>
            <c:symbol val="circle"/>
            <c:size val="5"/>
            <c:spPr>
              <a:solidFill>
                <a:srgbClr val="FF5C7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'HR Command Center'!$B$63:$B$68</c:f>
              <c:strCache>
                <c:ptCount val="6"/>
                <c:pt idx="0">
                  <c:v>Mar-26</c:v>
                </c:pt>
                <c:pt idx="1">
                  <c:v>Apr-26</c:v>
                </c:pt>
                <c:pt idx="2">
                  <c:v>May-26</c:v>
                </c:pt>
                <c:pt idx="3">
                  <c:v>Jun-26</c:v>
                </c:pt>
                <c:pt idx="4">
                  <c:v>Jul-26</c:v>
                </c:pt>
                <c:pt idx="5">
                  <c:v>Aug-26</c:v>
                </c:pt>
              </c:strCache>
            </c:strRef>
          </c:cat>
          <c:val>
            <c:numRef>
              <c:f>'HR Command Center'!$D$63:$D$68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9F-4154-8C71-8FD0861E5126}"/>
            </c:ext>
          </c:extLst>
        </c:ser>
        <c:ser>
          <c:idx val="2"/>
          <c:order val="2"/>
          <c:tx>
            <c:strRef>
              <c:f>'HR Command Center'!$E$62</c:f>
              <c:strCache>
                <c:ptCount val="1"/>
                <c:pt idx="0">
                  <c:v>Total Employees</c:v>
                </c:pt>
              </c:strCache>
            </c:strRef>
          </c:tx>
          <c:spPr>
            <a:ln w="21960">
              <a:solidFill>
                <a:srgbClr val="18D7E8"/>
              </a:solidFill>
              <a:round/>
            </a:ln>
          </c:spPr>
          <c:marker>
            <c:symbol val="circle"/>
            <c:size val="5"/>
            <c:spPr>
              <a:solidFill>
                <a:srgbClr val="18D7E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'HR Command Center'!$B$63:$B$68</c:f>
              <c:strCache>
                <c:ptCount val="6"/>
                <c:pt idx="0">
                  <c:v>Mar-26</c:v>
                </c:pt>
                <c:pt idx="1">
                  <c:v>Apr-26</c:v>
                </c:pt>
                <c:pt idx="2">
                  <c:v>May-26</c:v>
                </c:pt>
                <c:pt idx="3">
                  <c:v>Jun-26</c:v>
                </c:pt>
                <c:pt idx="4">
                  <c:v>Jul-26</c:v>
                </c:pt>
                <c:pt idx="5">
                  <c:v>Aug-26</c:v>
                </c:pt>
              </c:strCache>
            </c:strRef>
          </c:cat>
          <c:val>
            <c:numRef>
              <c:f>'HR Command Center'!$E$63:$E$68</c:f>
              <c:numCache>
                <c:formatCode>General</c:formatCode>
                <c:ptCount val="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33</c:v>
                </c:pt>
                <c:pt idx="4">
                  <c:v>32</c:v>
                </c:pt>
                <c:pt idx="5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F-4154-8C71-8FD0861E5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262264"/>
        <c:axId val="65387917"/>
      </c:lineChart>
      <c:catAx>
        <c:axId val="18262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2A3459"/>
            </a:solidFill>
            <a:round/>
          </a:ln>
        </c:spPr>
        <c:txPr>
          <a:bodyPr/>
          <a:lstStyle/>
          <a:p>
            <a:pPr>
              <a:defRPr sz="850" b="0" strike="noStrike" spc="-1">
                <a:solidFill>
                  <a:srgbClr val="8B93B8"/>
                </a:solidFill>
                <a:latin typeface="Calibri"/>
              </a:defRPr>
            </a:pPr>
            <a:endParaRPr lang="en-US"/>
          </a:p>
        </c:txPr>
        <c:crossAx val="65387917"/>
        <c:crosses val="autoZero"/>
        <c:auto val="1"/>
        <c:lblAlgn val="ctr"/>
        <c:lblOffset val="100"/>
        <c:noMultiLvlLbl val="0"/>
      </c:catAx>
      <c:valAx>
        <c:axId val="6538791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2A3459"/>
            </a:solidFill>
            <a:round/>
          </a:ln>
        </c:spPr>
        <c:txPr>
          <a:bodyPr/>
          <a:lstStyle/>
          <a:p>
            <a:pPr>
              <a:defRPr sz="850" b="0" strike="noStrike" spc="-1">
                <a:solidFill>
                  <a:srgbClr val="8B93B8"/>
                </a:solidFill>
                <a:latin typeface="Calibri"/>
              </a:defRPr>
            </a:pPr>
            <a:endParaRPr lang="en-US"/>
          </a:p>
        </c:txPr>
        <c:crossAx val="1826226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50" b="0" strike="noStrike" spc="-1">
              <a:solidFill>
                <a:srgbClr val="8B93B8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51D35"/>
    </a:solidFill>
    <a:ln w="9360">
      <a:solidFill>
        <a:srgbClr val="2A345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'HR Command Center'!$I$62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8D7E8"/>
              </a:solidFill>
              <a:ln w="0">
                <a:solidFill>
                  <a:srgbClr val="151D3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EE4-4501-9350-674D78680E63}"/>
              </c:ext>
            </c:extLst>
          </c:dPt>
          <c:dPt>
            <c:idx val="1"/>
            <c:bubble3D val="0"/>
            <c:spPr>
              <a:solidFill>
                <a:srgbClr val="B85CFF"/>
              </a:solidFill>
              <a:ln w="0">
                <a:solidFill>
                  <a:srgbClr val="151D3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EE4-4501-9350-674D78680E63}"/>
              </c:ext>
            </c:extLst>
          </c:dPt>
          <c:dPt>
            <c:idx val="2"/>
            <c:bubble3D val="0"/>
            <c:spPr>
              <a:solidFill>
                <a:srgbClr val="F04FCB"/>
              </a:solidFill>
              <a:ln w="0">
                <a:solidFill>
                  <a:srgbClr val="151D3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EE4-4501-9350-674D78680E63}"/>
              </c:ext>
            </c:extLst>
          </c:dPt>
          <c:dPt>
            <c:idx val="3"/>
            <c:bubble3D val="0"/>
            <c:spPr>
              <a:solidFill>
                <a:srgbClr val="35E0A1"/>
              </a:solidFill>
              <a:ln w="0">
                <a:solidFill>
                  <a:srgbClr val="151D3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EEE4-4501-9350-674D78680E63}"/>
              </c:ext>
            </c:extLst>
          </c:dPt>
          <c:dPt>
            <c:idx val="4"/>
            <c:bubble3D val="0"/>
            <c:spPr>
              <a:solidFill>
                <a:srgbClr val="FFB84D"/>
              </a:solidFill>
              <a:ln w="0">
                <a:solidFill>
                  <a:srgbClr val="151D3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EEE4-4501-9350-674D78680E63}"/>
              </c:ext>
            </c:extLst>
          </c:dPt>
          <c:dPt>
            <c:idx val="5"/>
            <c:bubble3D val="0"/>
            <c:spPr>
              <a:solidFill>
                <a:srgbClr val="4D8DFF"/>
              </a:solidFill>
              <a:ln w="0">
                <a:solidFill>
                  <a:srgbClr val="151D3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EEE4-4501-9350-674D78680E63}"/>
              </c:ext>
            </c:extLst>
          </c:dPt>
          <c:dPt>
            <c:idx val="6"/>
            <c:bubble3D val="0"/>
            <c:spPr>
              <a:solidFill>
                <a:srgbClr val="FF5C7A"/>
              </a:solidFill>
              <a:ln w="0">
                <a:solidFill>
                  <a:srgbClr val="151D35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EEE4-4501-9350-674D78680E6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850" b="0" strike="noStrike" spc="-1">
                      <a:solidFill>
                        <a:srgbClr val="F5F7FA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EE4-4501-9350-674D78680E6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850" b="0" strike="noStrike" spc="-1">
                      <a:solidFill>
                        <a:srgbClr val="F5F7FA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E4-4501-9350-674D78680E6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850" b="0" strike="noStrike" spc="-1">
                      <a:solidFill>
                        <a:srgbClr val="F5F7FA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E4-4501-9350-674D78680E6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850" b="0" strike="noStrike" spc="-1">
                      <a:solidFill>
                        <a:srgbClr val="F5F7FA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EE4-4501-9350-674D78680E6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850" b="0" strike="noStrike" spc="-1">
                      <a:solidFill>
                        <a:srgbClr val="F5F7FA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EE4-4501-9350-674D78680E63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850" b="0" strike="noStrike" spc="-1">
                      <a:solidFill>
                        <a:srgbClr val="F5F7FA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EE4-4501-9350-674D78680E63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850" b="0" strike="noStrike" spc="-1">
                      <a:solidFill>
                        <a:srgbClr val="F5F7FA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EE4-4501-9350-674D78680E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50" b="0" strike="noStrike" spc="-1">
                    <a:solidFill>
                      <a:srgbClr val="F5F7FA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'HR Command Center'!$H$63:$H$69</c:f>
              <c:strCache>
                <c:ptCount val="7"/>
                <c:pt idx="0">
                  <c:v>P</c:v>
                </c:pt>
                <c:pt idx="1">
                  <c:v>A</c:v>
                </c:pt>
                <c:pt idx="2">
                  <c:v>WO</c:v>
                </c:pt>
                <c:pt idx="3">
                  <c:v>HD</c:v>
                </c:pt>
                <c:pt idx="4">
                  <c:v>AL</c:v>
                </c:pt>
                <c:pt idx="5">
                  <c:v>ML</c:v>
                </c:pt>
                <c:pt idx="6">
                  <c:v>LOP</c:v>
                </c:pt>
              </c:strCache>
            </c:strRef>
          </c:cat>
          <c:val>
            <c:numRef>
              <c:f>'HR Command Center'!$I$63:$I$69</c:f>
              <c:numCache>
                <c:formatCode>General</c:formatCode>
                <c:ptCount val="7"/>
                <c:pt idx="0">
                  <c:v>266</c:v>
                </c:pt>
                <c:pt idx="1">
                  <c:v>12</c:v>
                </c:pt>
                <c:pt idx="2">
                  <c:v>17</c:v>
                </c:pt>
                <c:pt idx="3">
                  <c:v>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EE4-4501-9350-674D78680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50" b="0" strike="noStrike" spc="-1">
              <a:solidFill>
                <a:srgbClr val="8B93B8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151D35"/>
    </a:solidFill>
    <a:ln w="9360">
      <a:solidFill>
        <a:srgbClr val="2A345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14</xdr:col>
      <xdr:colOff>227520</xdr:colOff>
      <xdr:row>42</xdr:row>
      <xdr:rowOff>11520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236881</xdr:colOff>
      <xdr:row>42</xdr:row>
      <xdr:rowOff>11520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78"/>
  <sheetViews>
    <sheetView showGridLines="0" tabSelected="1" zoomScale="70" zoomScaleNormal="70" workbookViewId="0">
      <selection activeCell="M20" sqref="M20"/>
    </sheetView>
  </sheetViews>
  <sheetFormatPr defaultColWidth="8.6640625" defaultRowHeight="14.4" x14ac:dyDescent="0.3"/>
  <cols>
    <col min="1" max="1" width="6.109375" bestFit="1" customWidth="1"/>
    <col min="2" max="24" width="8.21875" customWidth="1"/>
  </cols>
  <sheetData>
    <row r="1" spans="1:115" ht="30" customHeight="1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8" t="str">
        <f ca="1">"REPORTING PERIOD: "&amp;TEXT(TODAY(),"MMM-YYYY")</f>
        <v>REPORTING PERIOD: Aug-2026</v>
      </c>
      <c r="T1" s="38"/>
      <c r="U1" s="38"/>
      <c r="V1" s="38"/>
      <c r="W1" s="38"/>
      <c r="X1" s="38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</row>
    <row r="2" spans="1:115" ht="15.75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9" t="str">
        <f ca="1">"LAST UPDATED: "&amp;TEXT(TODAY(),"DD-MMM-YYYY")</f>
        <v>LAST UPDATED: 31-Aug-2026</v>
      </c>
      <c r="T2" s="39"/>
      <c r="U2" s="39"/>
      <c r="V2" s="39"/>
      <c r="W2" s="39"/>
      <c r="X2" s="39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</row>
    <row r="3" spans="1:115" ht="18" customHeight="1" x14ac:dyDescent="0.3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1" t="str">
        <f>"SYSTEM STATUS:  ● LIVE  |  "&amp;COUNTA('Employee Master'!$A$10:$A$109)&amp;" EMPLOYEES LOADED"</f>
        <v>SYSTEM STATUS:  ● LIVE  |  36 EMPLOYEES LOADED</v>
      </c>
      <c r="T3" s="41"/>
      <c r="U3" s="41"/>
      <c r="V3" s="41"/>
      <c r="W3" s="41"/>
      <c r="X3" s="41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</row>
    <row r="4" spans="1:115" ht="19.5" customHeight="1" x14ac:dyDescent="0.3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</row>
    <row r="5" spans="1:115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</row>
    <row r="6" spans="1:115" ht="18" customHeight="1" x14ac:dyDescent="0.3">
      <c r="A6" s="4"/>
      <c r="B6" s="42" t="s">
        <v>11</v>
      </c>
      <c r="C6" s="42"/>
      <c r="D6" s="42"/>
      <c r="E6" s="42"/>
      <c r="F6" s="42"/>
      <c r="G6" s="42"/>
      <c r="H6" s="4"/>
      <c r="I6" s="43" t="s">
        <v>12</v>
      </c>
      <c r="J6" s="43"/>
      <c r="K6" s="43"/>
      <c r="L6" s="43"/>
      <c r="M6" s="43"/>
      <c r="N6" s="43"/>
      <c r="O6" s="4"/>
      <c r="P6" s="44" t="s">
        <v>13</v>
      </c>
      <c r="Q6" s="44"/>
      <c r="R6" s="44"/>
      <c r="S6" s="44"/>
      <c r="T6" s="44"/>
      <c r="U6" s="4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</row>
    <row r="7" spans="1:115" ht="13.5" customHeight="1" x14ac:dyDescent="0.3">
      <c r="A7" s="4"/>
      <c r="B7" s="28" t="s">
        <v>14</v>
      </c>
      <c r="C7" s="28"/>
      <c r="D7" s="28"/>
      <c r="E7" s="28" t="s">
        <v>15</v>
      </c>
      <c r="F7" s="28"/>
      <c r="G7" s="28"/>
      <c r="H7" s="4"/>
      <c r="I7" s="29" t="s">
        <v>16</v>
      </c>
      <c r="J7" s="29"/>
      <c r="K7" s="29"/>
      <c r="L7" s="30" t="s">
        <v>17</v>
      </c>
      <c r="M7" s="30"/>
      <c r="N7" s="30"/>
      <c r="O7" s="4"/>
      <c r="P7" s="29" t="s">
        <v>18</v>
      </c>
      <c r="Q7" s="29"/>
      <c r="R7" s="29"/>
      <c r="S7" s="29"/>
      <c r="T7" s="45" t="s">
        <v>19</v>
      </c>
      <c r="U7" s="45"/>
      <c r="V7" s="45"/>
      <c r="W7" s="45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</row>
    <row r="8" spans="1:115" ht="25.5" customHeight="1" x14ac:dyDescent="0.3">
      <c r="A8" s="4"/>
      <c r="B8" s="32">
        <f>COUNTA('Employee Master'!$A$10:$A$109)</f>
        <v>36</v>
      </c>
      <c r="C8" s="32"/>
      <c r="D8" s="32"/>
      <c r="E8" s="32">
        <f>COUNTIF('Employee Master'!$U$10:$U$109,"Active")</f>
        <v>33</v>
      </c>
      <c r="F8" s="32"/>
      <c r="G8" s="32"/>
      <c r="H8" s="4"/>
      <c r="I8" s="32">
        <f ca="1">COUNTIFS('Employee Master'!$F$10:$F$109,"&gt;="&amp;TODAY()-30)</f>
        <v>3</v>
      </c>
      <c r="J8" s="32"/>
      <c r="K8" s="32"/>
      <c r="L8" s="32">
        <f ca="1">COUNTIFS('Employee Master'!$V$10:$V$109,"&gt;="&amp;TODAY()-90)</f>
        <v>2</v>
      </c>
      <c r="M8" s="32"/>
      <c r="N8" s="32"/>
      <c r="O8" s="4"/>
      <c r="P8" s="47">
        <f>IFERROR(COUNTIF(Attendance!$E$10:$E$509,"P")/COUNTIF(Attendance!$E$10:$E$509,"&lt;&gt;"),"")</f>
        <v>0.86928104575163401</v>
      </c>
      <c r="Q8" s="47"/>
      <c r="R8" s="47"/>
      <c r="S8" s="47"/>
      <c r="T8" s="32">
        <f>COUNTIF(Attendance!$K$10:$K$509,"Late")</f>
        <v>13</v>
      </c>
      <c r="U8" s="32"/>
      <c r="V8" s="32"/>
      <c r="W8" s="32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</row>
    <row r="9" spans="1:115" ht="13.5" customHeight="1" x14ac:dyDescent="0.3">
      <c r="A9" s="4"/>
      <c r="B9" s="33" t="str">
        <f>"in roster"</f>
        <v>in roster</v>
      </c>
      <c r="C9" s="33"/>
      <c r="D9" s="33"/>
      <c r="E9" s="33" t="str">
        <f>"currently working"</f>
        <v>currently working</v>
      </c>
      <c r="F9" s="33"/>
      <c r="G9" s="33"/>
      <c r="H9" s="4"/>
      <c r="I9" s="34" t="str">
        <f>"onboarded this month"</f>
        <v>onboarded this month</v>
      </c>
      <c r="J9" s="34"/>
      <c r="K9" s="34"/>
      <c r="L9" s="35" t="str">
        <f>"resigned / terminated"</f>
        <v>resigned / terminated</v>
      </c>
      <c r="M9" s="35"/>
      <c r="N9" s="35"/>
      <c r="O9" s="4"/>
      <c r="P9" s="34" t="str">
        <f>"of all logged days"</f>
        <v>of all logged days</v>
      </c>
      <c r="Q9" s="34"/>
      <c r="R9" s="34"/>
      <c r="S9" s="34"/>
      <c r="T9" s="46" t="str">
        <f>"in the logged period"</f>
        <v>in the logged period</v>
      </c>
      <c r="U9" s="46"/>
      <c r="V9" s="46"/>
      <c r="W9" s="46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</row>
    <row r="10" spans="1:115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</row>
    <row r="11" spans="1:115" ht="13.5" customHeight="1" x14ac:dyDescent="0.3">
      <c r="A11" s="4"/>
      <c r="B11" s="29" t="s">
        <v>20</v>
      </c>
      <c r="C11" s="29"/>
      <c r="D11" s="29"/>
      <c r="E11" s="30" t="s">
        <v>21</v>
      </c>
      <c r="F11" s="30"/>
      <c r="G11" s="30"/>
      <c r="H11" s="4"/>
      <c r="I11" s="31" t="s">
        <v>22</v>
      </c>
      <c r="J11" s="31"/>
      <c r="K11" s="31"/>
      <c r="L11" s="31"/>
      <c r="M11" s="31" t="s">
        <v>23</v>
      </c>
      <c r="N11" s="31"/>
      <c r="O11" s="31"/>
      <c r="P11" s="31"/>
      <c r="Q11" s="28" t="s">
        <v>24</v>
      </c>
      <c r="R11" s="28"/>
      <c r="S11" s="28"/>
      <c r="T11" s="30" t="s">
        <v>25</v>
      </c>
      <c r="U11" s="30"/>
      <c r="V11" s="30"/>
      <c r="W11" s="30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</row>
    <row r="12" spans="1:115" ht="25.5" customHeight="1" x14ac:dyDescent="0.3">
      <c r="A12" s="4"/>
      <c r="B12" s="32">
        <f>COUNTIFS(Attendance!$A$10:$A$509,MAX(Attendance!$A$10:$A$509),Attendance!$E$10:$E$509,"P")</f>
        <v>33</v>
      </c>
      <c r="C12" s="32"/>
      <c r="D12" s="32"/>
      <c r="E12" s="32">
        <f>COUNTIFS(Attendance!$A$10:$A$509,MAX(Attendance!$A$10:$A$509),Attendance!$E$10:$E$509,"A")</f>
        <v>0</v>
      </c>
      <c r="F12" s="32"/>
      <c r="G12" s="32"/>
      <c r="H12" s="4"/>
      <c r="I12" s="48">
        <f>SUMIFS(Payroll!$F$10:$F$209,Payroll!$A$10:$A$209,Payroll!$A$10)</f>
        <v>826700</v>
      </c>
      <c r="J12" s="48"/>
      <c r="K12" s="48"/>
      <c r="L12" s="48"/>
      <c r="M12" s="48">
        <f>SUMIFS(Payroll!$O$10:$O$209,Payroll!$A$10:$A$209,Payroll!$A$10)</f>
        <v>765330.71833333327</v>
      </c>
      <c r="N12" s="48"/>
      <c r="O12" s="48"/>
      <c r="P12" s="48"/>
      <c r="Q12" s="49">
        <f>IFERROR(AVERAGE('Document Tracker'!$I$10:$I$109),0)</f>
        <v>0.54444444444444451</v>
      </c>
      <c r="R12" s="49"/>
      <c r="S12" s="49"/>
      <c r="T12" s="32">
        <f ca="1">COUNTIF('Expiry Tracker'!$F$10:$F$109,"Expired")+COUNTIF('Expiry Tracker'!$F$10:$F$109,"Due in 7 Days")</f>
        <v>6</v>
      </c>
      <c r="U12" s="32"/>
      <c r="V12" s="32"/>
      <c r="W12" s="32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</row>
    <row r="13" spans="1:115" ht="13.5" customHeight="1" x14ac:dyDescent="0.3">
      <c r="A13" s="4"/>
      <c r="B13" s="34" t="str">
        <f>"on latest logged date"</f>
        <v>on latest logged date</v>
      </c>
      <c r="C13" s="34"/>
      <c r="D13" s="34"/>
      <c r="E13" s="35" t="str">
        <f>"on latest logged date"</f>
        <v>on latest logged date</v>
      </c>
      <c r="F13" s="35"/>
      <c r="G13" s="35"/>
      <c r="H13" s="4"/>
      <c r="I13" s="36" t="str">
        <f>"for "&amp;Payroll!$A$10</f>
        <v>for Jul-26</v>
      </c>
      <c r="J13" s="36"/>
      <c r="K13" s="36"/>
      <c r="L13" s="36"/>
      <c r="M13" s="36" t="str">
        <f>"after all deductions"</f>
        <v>after all deductions</v>
      </c>
      <c r="N13" s="36"/>
      <c r="O13" s="36"/>
      <c r="P13" s="36"/>
      <c r="Q13" s="33" t="str">
        <f>"avg. document completion"</f>
        <v>avg. document completion</v>
      </c>
      <c r="R13" s="33"/>
      <c r="S13" s="33"/>
      <c r="T13" s="35" t="str">
        <f>"expired or due within 7 days"</f>
        <v>expired or due within 7 days</v>
      </c>
      <c r="U13" s="35"/>
      <c r="V13" s="35"/>
      <c r="W13" s="3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</row>
    <row r="14" spans="1:115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</row>
    <row r="15" spans="1:115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</row>
    <row r="16" spans="1:115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</row>
    <row r="17" spans="1:115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</row>
    <row r="18" spans="1:115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</row>
    <row r="19" spans="1:115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</row>
    <row r="20" spans="1:115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</row>
    <row r="21" spans="1:115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</row>
    <row r="22" spans="1:115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</row>
    <row r="23" spans="1:115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</row>
    <row r="24" spans="1:115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</row>
    <row r="25" spans="1:115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</row>
    <row r="26" spans="1:115" ht="18" customHeight="1" x14ac:dyDescent="0.3">
      <c r="A26" s="4"/>
      <c r="B26" s="42" t="s">
        <v>26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"/>
      <c r="P26" s="43" t="s">
        <v>27</v>
      </c>
      <c r="Q26" s="43"/>
      <c r="R26" s="43"/>
      <c r="S26" s="43"/>
      <c r="T26" s="43"/>
      <c r="U26" s="43"/>
      <c r="V26" s="43"/>
      <c r="W26" s="43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</row>
    <row r="27" spans="1:115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</row>
    <row r="28" spans="1:115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</row>
    <row r="29" spans="1:115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</row>
    <row r="30" spans="1:115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</row>
    <row r="31" spans="1:115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</row>
    <row r="32" spans="1:115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</row>
    <row r="33" spans="1:115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</row>
    <row r="34" spans="1:115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</row>
    <row r="35" spans="1:115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</row>
    <row r="36" spans="1:115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</row>
    <row r="37" spans="1:115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</row>
    <row r="38" spans="1:115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</row>
    <row r="39" spans="1:115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</row>
    <row r="40" spans="1:115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</row>
    <row r="41" spans="1:115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</row>
    <row r="42" spans="1:115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</row>
    <row r="43" spans="1:115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</row>
    <row r="44" spans="1:115" ht="18" customHeight="1" x14ac:dyDescent="0.3">
      <c r="A44" s="4"/>
      <c r="B44" s="50" t="s">
        <v>28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4"/>
      <c r="P44" s="51" t="s">
        <v>29</v>
      </c>
      <c r="Q44" s="51"/>
      <c r="R44" s="51"/>
      <c r="S44" s="51"/>
      <c r="T44" s="51"/>
      <c r="U44" s="51"/>
      <c r="V44" s="51"/>
      <c r="W44" s="51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</row>
    <row r="45" spans="1:115" ht="24" customHeight="1" x14ac:dyDescent="0.3">
      <c r="A45" s="4"/>
      <c r="B45" s="52" t="str">
        <f ca="1">"Active headcount is "&amp;COUNTIF('Employee Master'!$U$10:$U$109,"Active")&amp;" employees, with "&amp;COUNTIFS('Employee Master'!$F$10:$F$109,"&gt;="&amp;TODAY()-30)&amp;" joining in the last 30 days."</f>
        <v>Active headcount is 33 employees, with 3 joining in the last 30 days.</v>
      </c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4"/>
      <c r="P45" s="53" t="s">
        <v>30</v>
      </c>
      <c r="Q45" s="53"/>
      <c r="R45" s="53"/>
      <c r="S45" s="53"/>
      <c r="T45" s="53"/>
      <c r="U45" s="54">
        <f ca="1">COUNTIF('Expiry Tracker'!$F$10:$F$109,"Expired")</f>
        <v>6</v>
      </c>
      <c r="V45" s="54"/>
      <c r="W45" s="54"/>
      <c r="X45" s="5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</row>
    <row r="46" spans="1:115" ht="24" customHeight="1" x14ac:dyDescent="0.3">
      <c r="A46" s="4"/>
      <c r="B46" s="55" t="str">
        <f>"Attendance stood at "&amp;TEXT(IFERROR(COUNTIF(Attendance!$E$10:$E$509,"P")/COUNTIF(Attendance!$E$10:$E$509,"&lt;&gt;"),0),"0.0%")&amp;" across all logged working days, with "&amp;COUNTIF(Attendance!$K$10:$K$509,"Late")&amp;" late instances."</f>
        <v>Attendance stood at 86.9% across all logged working days, with 13 late instances.</v>
      </c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4"/>
      <c r="P46" s="56" t="s">
        <v>31</v>
      </c>
      <c r="Q46" s="56"/>
      <c r="R46" s="56"/>
      <c r="S46" s="56"/>
      <c r="T46" s="56"/>
      <c r="U46" s="57">
        <f ca="1">COUNTIF('Expiry Tracker'!$F$10:$F$109,"Due in 7 Days")</f>
        <v>0</v>
      </c>
      <c r="V46" s="57"/>
      <c r="W46" s="57"/>
      <c r="X46" s="57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</row>
    <row r="47" spans="1:115" ht="24" customHeight="1" x14ac:dyDescent="0.3">
      <c r="A47" s="4"/>
      <c r="B47" s="59" t="str">
        <f>"Latest payroll run totals Rs. "&amp;TEXT(SUMIFS(Payroll!$F$10:$F$209,Payroll!$A$10:$A$209,Payroll!$A$10)/100000,"0.0")&amp;" L gross, with Rs. "&amp;TEXT(SUMIFS(Payroll!$J$10:$J$209,Payroll!$A$10:$A$209,Payroll!$A$10)/1000,"0.0")&amp;"K in overtime."</f>
        <v>Latest payroll run totals Rs. 8.3 L gross, with Rs. 9.3K in overtime.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4"/>
      <c r="P47" s="60" t="s">
        <v>32</v>
      </c>
      <c r="Q47" s="60"/>
      <c r="R47" s="60"/>
      <c r="S47" s="60"/>
      <c r="T47" s="60"/>
      <c r="U47" s="61">
        <f ca="1">COUNTIF('Expiry Tracker'!$F$10:$F$109,"Due in 30 Days")</f>
        <v>5</v>
      </c>
      <c r="V47" s="61"/>
      <c r="W47" s="61"/>
      <c r="X47" s="61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</row>
    <row r="48" spans="1:115" ht="24" customHeight="1" x14ac:dyDescent="0.3">
      <c r="A48" s="4"/>
      <c r="B48" s="62" t="str">
        <f ca="1">IF(COUNTIF('Expiry Tracker'!$F$10:$F$109,"Expired")+COUNTIF('Expiry Tracker'!$F$10:$F$109,"Due in 7 Days")&gt;0,COUNTIF('Expiry Tracker'!$F$10:$F$109,"Expired")+COUNTIF('Expiry Tracker'!$F$10:$F$109,"Due in 7 Days")&amp;" employees need urgent document or licence renewal - see Expiry Tracker.","No urgent compliance actions right now.")</f>
        <v>6 employees need urgent document or licence renewal - see Expiry Tracker.</v>
      </c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4"/>
      <c r="P48" s="63" t="s">
        <v>33</v>
      </c>
      <c r="Q48" s="63"/>
      <c r="R48" s="63"/>
      <c r="S48" s="63"/>
      <c r="T48" s="63"/>
      <c r="U48" s="64">
        <f>COUNTIFS('Document Tracker'!$I$10:$I$109,"&lt;1",'Document Tracker'!$A$10:$A$109,"&lt;&gt;")</f>
        <v>41</v>
      </c>
      <c r="V48" s="64"/>
      <c r="W48" s="64"/>
      <c r="X48" s="6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</row>
    <row r="49" spans="1:115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</row>
    <row r="50" spans="1:115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58" t="s">
        <v>34</v>
      </c>
      <c r="Q50" s="58"/>
      <c r="R50" s="58"/>
      <c r="S50" s="58"/>
      <c r="T50" s="58"/>
      <c r="U50" s="58"/>
      <c r="V50" s="58"/>
      <c r="W50" s="58"/>
      <c r="X50" s="58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</row>
    <row r="51" spans="1:115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</row>
    <row r="52" spans="1:115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</row>
    <row r="53" spans="1:115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</row>
    <row r="54" spans="1:115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</row>
    <row r="55" spans="1:115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</row>
    <row r="56" spans="1:115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</row>
    <row r="57" spans="1:115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</row>
    <row r="58" spans="1:115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</row>
    <row r="59" spans="1:115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</row>
    <row r="60" spans="1:115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</row>
    <row r="61" spans="1:115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</row>
    <row r="62" spans="1:115" x14ac:dyDescent="0.3">
      <c r="A62" s="4"/>
      <c r="B62" s="6" t="s">
        <v>35</v>
      </c>
      <c r="C62" s="6" t="s">
        <v>36</v>
      </c>
      <c r="D62" s="6" t="s">
        <v>37</v>
      </c>
      <c r="E62" s="6" t="s">
        <v>38</v>
      </c>
      <c r="F62" s="4"/>
      <c r="G62" s="4"/>
      <c r="H62" s="6" t="s">
        <v>39</v>
      </c>
      <c r="I62" s="6" t="s">
        <v>40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</row>
    <row r="63" spans="1:115" x14ac:dyDescent="0.3">
      <c r="A63" s="4"/>
      <c r="B63" s="7" t="s">
        <v>41</v>
      </c>
      <c r="C63" s="7">
        <f>COUNTIFS('Employee Master'!$F$10:$F$109,"&gt;="&amp;DATE(2026,3,1),'Employee Master'!$F$10:$F$109,"&lt;="&amp;DATE(2026,3,31))</f>
        <v>0</v>
      </c>
      <c r="D63" s="7">
        <f>COUNTIFS('Employee Master'!$V$10:$V$109,"&gt;="&amp;DATE(2026,3,1),'Employee Master'!$V$10:$V$109,"&lt;="&amp;DATE(2026,3,31))</f>
        <v>0</v>
      </c>
      <c r="E63" s="7">
        <f>COUNTIFS('Employee Master'!$F$10:$F$109,"&lt;="&amp;DATE(2026,3,31))-COUNTIFS('Employee Master'!$V$10:$V$109,"&lt;="&amp;DATE(2026,3,31),'Employee Master'!$V$10:$V$109,"&lt;&gt;"&amp;"")</f>
        <v>30</v>
      </c>
      <c r="F63" s="4"/>
      <c r="G63" s="4"/>
      <c r="H63" s="7" t="s">
        <v>42</v>
      </c>
      <c r="I63" s="7">
        <f>COUNTIF(Attendance!$E$10:$E$509,"P")</f>
        <v>266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</row>
    <row r="64" spans="1:115" x14ac:dyDescent="0.3">
      <c r="A64" s="4"/>
      <c r="B64" s="7" t="s">
        <v>43</v>
      </c>
      <c r="C64" s="7">
        <f>COUNTIFS('Employee Master'!$F$10:$F$109,"&gt;="&amp;DATE(2026,4,1),'Employee Master'!$F$10:$F$109,"&lt;="&amp;DATE(2026,4,30))</f>
        <v>0</v>
      </c>
      <c r="D64" s="7">
        <f>COUNTIFS('Employee Master'!$V$10:$V$109,"&gt;="&amp;DATE(2026,4,1),'Employee Master'!$V$10:$V$109,"&lt;="&amp;DATE(2026,4,30))</f>
        <v>0</v>
      </c>
      <c r="E64" s="7">
        <f>COUNTIFS('Employee Master'!$F$10:$F$109,"&lt;="&amp;DATE(2026,4,30))-COUNTIFS('Employee Master'!$V$10:$V$109,"&lt;="&amp;DATE(2026,4,30),'Employee Master'!$V$10:$V$109,"&lt;&gt;"&amp;"")</f>
        <v>30</v>
      </c>
      <c r="F64" s="4"/>
      <c r="G64" s="4"/>
      <c r="H64" s="7" t="s">
        <v>44</v>
      </c>
      <c r="I64" s="7">
        <f>COUNTIF(Attendance!$E$10:$E$509,"A")</f>
        <v>12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</row>
    <row r="65" spans="1:115" x14ac:dyDescent="0.3">
      <c r="A65" s="4"/>
      <c r="B65" s="7" t="s">
        <v>45</v>
      </c>
      <c r="C65" s="7">
        <f>COUNTIFS('Employee Master'!$F$10:$F$109,"&gt;="&amp;DATE(2026,5,1),'Employee Master'!$F$10:$F$109,"&lt;="&amp;DATE(2026,5,31))</f>
        <v>0</v>
      </c>
      <c r="D65" s="7">
        <f>COUNTIFS('Employee Master'!$V$10:$V$109,"&gt;="&amp;DATE(2026,5,1),'Employee Master'!$V$10:$V$109,"&lt;="&amp;DATE(2026,5,31))</f>
        <v>0</v>
      </c>
      <c r="E65" s="7">
        <f>COUNTIFS('Employee Master'!$F$10:$F$109,"&lt;="&amp;DATE(2026,5,31))-COUNTIFS('Employee Master'!$V$10:$V$109,"&lt;="&amp;DATE(2026,5,31),'Employee Master'!$V$10:$V$109,"&lt;&gt;"&amp;"")</f>
        <v>30</v>
      </c>
      <c r="F65" s="4"/>
      <c r="G65" s="4"/>
      <c r="H65" s="7" t="s">
        <v>46</v>
      </c>
      <c r="I65" s="7">
        <f>COUNTIF(Attendance!$E$10:$E$509,"WO")</f>
        <v>17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</row>
    <row r="66" spans="1:115" x14ac:dyDescent="0.3">
      <c r="A66" s="4"/>
      <c r="B66" s="7" t="s">
        <v>47</v>
      </c>
      <c r="C66" s="7">
        <f>COUNTIFS('Employee Master'!$F$10:$F$109,"&gt;="&amp;DATE(2026,6,1),'Employee Master'!$F$10:$F$109,"&lt;="&amp;DATE(2026,6,30))</f>
        <v>3</v>
      </c>
      <c r="D66" s="7">
        <f>COUNTIFS('Employee Master'!$V$10:$V$109,"&gt;="&amp;DATE(2026,6,1),'Employee Master'!$V$10:$V$109,"&lt;="&amp;DATE(2026,6,30))</f>
        <v>0</v>
      </c>
      <c r="E66" s="7">
        <f>COUNTIFS('Employee Master'!$F$10:$F$109,"&lt;="&amp;DATE(2026,6,30))-COUNTIFS('Employee Master'!$V$10:$V$109,"&lt;="&amp;DATE(2026,6,30),'Employee Master'!$V$10:$V$109,"&lt;&gt;"&amp;"")</f>
        <v>33</v>
      </c>
      <c r="F66" s="4"/>
      <c r="G66" s="4"/>
      <c r="H66" s="7" t="s">
        <v>48</v>
      </c>
      <c r="I66" s="7">
        <f>COUNTIF(Attendance!$E$10:$E$509,"HD")</f>
        <v>11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</row>
    <row r="67" spans="1:115" x14ac:dyDescent="0.3">
      <c r="A67" s="4"/>
      <c r="B67" s="7" t="s">
        <v>49</v>
      </c>
      <c r="C67" s="7">
        <f>COUNTIFS('Employee Master'!$F$10:$F$109,"&gt;="&amp;DATE(2026,7,1),'Employee Master'!$F$10:$F$109,"&lt;="&amp;DATE(2026,7,31))</f>
        <v>0</v>
      </c>
      <c r="D67" s="7">
        <f>COUNTIFS('Employee Master'!$V$10:$V$109,"&gt;="&amp;DATE(2026,7,1),'Employee Master'!$V$10:$V$109,"&lt;="&amp;DATE(2026,7,31))</f>
        <v>1</v>
      </c>
      <c r="E67" s="7">
        <f>COUNTIFS('Employee Master'!$F$10:$F$109,"&lt;="&amp;DATE(2026,7,31))-COUNTIFS('Employee Master'!$V$10:$V$109,"&lt;="&amp;DATE(2026,7,31),'Employee Master'!$V$10:$V$109,"&lt;&gt;"&amp;"")</f>
        <v>32</v>
      </c>
      <c r="F67" s="4"/>
      <c r="G67" s="4"/>
      <c r="H67" s="7" t="s">
        <v>50</v>
      </c>
      <c r="I67" s="7">
        <f>COUNTIF(Attendance!$E$10:$E$509,"AL")</f>
        <v>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</row>
    <row r="68" spans="1:115" x14ac:dyDescent="0.3">
      <c r="A68" s="4"/>
      <c r="B68" s="7" t="s">
        <v>51</v>
      </c>
      <c r="C68" s="7">
        <f>COUNTIFS('Employee Master'!$F$10:$F$109,"&gt;="&amp;DATE(2026,8,1),'Employee Master'!$F$10:$F$109,"&lt;="&amp;DATE(2026,8,31))</f>
        <v>3</v>
      </c>
      <c r="D68" s="7">
        <f>COUNTIFS('Employee Master'!$V$10:$V$109,"&gt;="&amp;DATE(2026,8,1),'Employee Master'!$V$10:$V$109,"&lt;="&amp;DATE(2026,8,31))</f>
        <v>1</v>
      </c>
      <c r="E68" s="7">
        <f>COUNTIFS('Employee Master'!$F$10:$F$109,"&lt;="&amp;DATE(2026,8,31))-COUNTIFS('Employee Master'!$V$10:$V$109,"&lt;="&amp;DATE(2026,8,31),'Employee Master'!$V$10:$V$109,"&lt;&gt;"&amp;"")</f>
        <v>34</v>
      </c>
      <c r="F68" s="4"/>
      <c r="G68" s="4"/>
      <c r="H68" s="7" t="s">
        <v>52</v>
      </c>
      <c r="I68" s="7">
        <f>COUNTIF(Attendance!$E$10:$E$509,"ML")</f>
        <v>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</row>
    <row r="69" spans="1:115" x14ac:dyDescent="0.3">
      <c r="A69" s="4"/>
      <c r="B69" s="4"/>
      <c r="C69" s="4"/>
      <c r="D69" s="4"/>
      <c r="E69" s="4"/>
      <c r="F69" s="4"/>
      <c r="G69" s="4"/>
      <c r="H69" s="7" t="s">
        <v>53</v>
      </c>
      <c r="I69" s="7">
        <f>COUNTIF(Attendance!$E$10:$E$509,"LOP")</f>
        <v>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</row>
    <row r="70" spans="1:115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</row>
    <row r="71" spans="1:115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</row>
    <row r="72" spans="1:115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</row>
    <row r="73" spans="1:115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</row>
    <row r="74" spans="1:115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</row>
    <row r="75" spans="1:115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</row>
    <row r="76" spans="1:115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</row>
    <row r="77" spans="1:115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</row>
    <row r="78" spans="1:115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</row>
  </sheetData>
  <mergeCells count="61">
    <mergeCell ref="P50:X50"/>
    <mergeCell ref="B47:N47"/>
    <mergeCell ref="P47:T47"/>
    <mergeCell ref="U47:X47"/>
    <mergeCell ref="B48:N48"/>
    <mergeCell ref="P48:T48"/>
    <mergeCell ref="U48:X48"/>
    <mergeCell ref="B45:N45"/>
    <mergeCell ref="P45:T45"/>
    <mergeCell ref="U45:X45"/>
    <mergeCell ref="B46:N46"/>
    <mergeCell ref="P46:T46"/>
    <mergeCell ref="U46:X46"/>
    <mergeCell ref="T13:W13"/>
    <mergeCell ref="B26:N26"/>
    <mergeCell ref="P26:W26"/>
    <mergeCell ref="B44:N44"/>
    <mergeCell ref="P44:W44"/>
    <mergeCell ref="B13:D13"/>
    <mergeCell ref="E13:G13"/>
    <mergeCell ref="I13:L13"/>
    <mergeCell ref="M13:P13"/>
    <mergeCell ref="Q13:S13"/>
    <mergeCell ref="T11:W11"/>
    <mergeCell ref="B12:D12"/>
    <mergeCell ref="E12:G12"/>
    <mergeCell ref="I12:L12"/>
    <mergeCell ref="M12:P12"/>
    <mergeCell ref="Q12:S12"/>
    <mergeCell ref="T12:W12"/>
    <mergeCell ref="B11:D11"/>
    <mergeCell ref="E11:G11"/>
    <mergeCell ref="I11:L11"/>
    <mergeCell ref="M11:P11"/>
    <mergeCell ref="Q11:S11"/>
    <mergeCell ref="T8:W8"/>
    <mergeCell ref="B9:D9"/>
    <mergeCell ref="E9:G9"/>
    <mergeCell ref="I9:K9"/>
    <mergeCell ref="L9:N9"/>
    <mergeCell ref="P9:S9"/>
    <mergeCell ref="T9:W9"/>
    <mergeCell ref="B8:D8"/>
    <mergeCell ref="E8:G8"/>
    <mergeCell ref="I8:K8"/>
    <mergeCell ref="L8:N8"/>
    <mergeCell ref="P8:S8"/>
    <mergeCell ref="B6:G6"/>
    <mergeCell ref="I6:N6"/>
    <mergeCell ref="P6:U6"/>
    <mergeCell ref="B7:D7"/>
    <mergeCell ref="E7:G7"/>
    <mergeCell ref="I7:K7"/>
    <mergeCell ref="L7:N7"/>
    <mergeCell ref="P7:S7"/>
    <mergeCell ref="T7:W7"/>
    <mergeCell ref="A1:R2"/>
    <mergeCell ref="S1:X1"/>
    <mergeCell ref="S2:X2"/>
    <mergeCell ref="A3:R3"/>
    <mergeCell ref="S3:X3"/>
  </mergeCells>
  <hyperlinks>
    <hyperlink ref="B4" location="'Employee Master'!A1" display=" PEOPLE " xr:uid="{00000000-0004-0000-0000-000000000000}"/>
    <hyperlink ref="C4" location="'Attendance'!A1" display=" ATTEND. " xr:uid="{00000000-0004-0000-0000-000001000000}"/>
    <hyperlink ref="D4" location="'Leave Tracker'!A1" display=" LEAVE " xr:uid="{00000000-0004-0000-0000-000002000000}"/>
    <hyperlink ref="E4" location="'Payroll'!A1" display=" PAYROLL " xr:uid="{00000000-0004-0000-0000-000003000000}"/>
    <hyperlink ref="F4" location="'Document Tracker'!A1" display=" DOCS " xr:uid="{00000000-0004-0000-0000-000004000000}"/>
    <hyperlink ref="G4" location="'Compliance Center'!A1" display=" COMPLY " xr:uid="{00000000-0004-0000-0000-000005000000}"/>
    <hyperlink ref="H4" location="'Analytics &amp; Reports'!A1" display=" ANALYTICS " xr:uid="{00000000-0004-0000-0000-000006000000}"/>
    <hyperlink ref="I4" location="'Management Dashboard'!A1" display=" MGMT " xr:uid="{00000000-0004-0000-0000-000007000000}"/>
    <hyperlink ref="P50" location="'Expiry Tracker'!A1" display="See full list → Expiry Tracker" xr:uid="{00000000-0004-0000-0000-000008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showGridLines="0" zoomScaleNormal="100" workbookViewId="0">
      <pane ySplit="9" topLeftCell="A10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20" customWidth="1"/>
    <col min="3" max="12" width="16" customWidth="1"/>
  </cols>
  <sheetData>
    <row r="1" spans="1:12" ht="33.75" customHeight="1" x14ac:dyDescent="0.3">
      <c r="A1" s="26" t="s">
        <v>54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15.75" customHeight="1" x14ac:dyDescent="0.3">
      <c r="A2" s="27" t="s">
        <v>55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19.5" customHeight="1" x14ac:dyDescent="0.3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3"/>
      <c r="K3" s="3"/>
      <c r="L3" s="3"/>
    </row>
    <row r="4" spans="1:12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3">
      <c r="A9" s="8" t="s">
        <v>56</v>
      </c>
      <c r="B9" s="8" t="s">
        <v>57</v>
      </c>
      <c r="C9" s="8" t="s">
        <v>58</v>
      </c>
      <c r="D9" s="8" t="s">
        <v>59</v>
      </c>
      <c r="E9" s="8" t="s">
        <v>60</v>
      </c>
      <c r="F9" s="8" t="s">
        <v>61</v>
      </c>
      <c r="G9" s="8" t="s">
        <v>62</v>
      </c>
      <c r="H9" s="8" t="s">
        <v>63</v>
      </c>
      <c r="I9" s="8" t="s">
        <v>35</v>
      </c>
      <c r="J9" s="4"/>
      <c r="K9" s="8" t="s">
        <v>64</v>
      </c>
      <c r="L9" s="8" t="s">
        <v>65</v>
      </c>
    </row>
    <row r="10" spans="1:12" x14ac:dyDescent="0.3">
      <c r="A10" s="9" t="s">
        <v>66</v>
      </c>
      <c r="B10" s="9" t="s">
        <v>67</v>
      </c>
      <c r="C10" s="9" t="s">
        <v>68</v>
      </c>
      <c r="D10" s="9" t="s">
        <v>69</v>
      </c>
      <c r="E10" s="9" t="s">
        <v>42</v>
      </c>
      <c r="F10" s="9" t="s">
        <v>70</v>
      </c>
      <c r="G10" s="9" t="s">
        <v>71</v>
      </c>
      <c r="H10" s="9" t="s">
        <v>72</v>
      </c>
      <c r="I10" s="9" t="s">
        <v>73</v>
      </c>
      <c r="J10" s="4"/>
      <c r="K10" s="9" t="s">
        <v>74</v>
      </c>
      <c r="L10" s="10">
        <v>0.39583333333333298</v>
      </c>
    </row>
    <row r="11" spans="1:12" x14ac:dyDescent="0.3">
      <c r="A11" s="9" t="s">
        <v>75</v>
      </c>
      <c r="B11" s="9" t="s">
        <v>76</v>
      </c>
      <c r="C11" s="9" t="s">
        <v>77</v>
      </c>
      <c r="D11" s="9" t="s">
        <v>78</v>
      </c>
      <c r="E11" s="9" t="s">
        <v>44</v>
      </c>
      <c r="F11" s="9" t="s">
        <v>79</v>
      </c>
      <c r="G11" s="9" t="s">
        <v>80</v>
      </c>
      <c r="H11" s="9" t="s">
        <v>81</v>
      </c>
      <c r="I11" s="9" t="s">
        <v>82</v>
      </c>
      <c r="J11" s="4"/>
      <c r="K11" s="9" t="s">
        <v>83</v>
      </c>
      <c r="L11" s="10">
        <v>0.75</v>
      </c>
    </row>
    <row r="12" spans="1:12" x14ac:dyDescent="0.3">
      <c r="A12" s="9" t="s">
        <v>84</v>
      </c>
      <c r="B12" s="9" t="s">
        <v>85</v>
      </c>
      <c r="C12" s="9" t="s">
        <v>86</v>
      </c>
      <c r="D12" s="9" t="s">
        <v>87</v>
      </c>
      <c r="E12" s="9" t="s">
        <v>50</v>
      </c>
      <c r="F12" s="9" t="s">
        <v>88</v>
      </c>
      <c r="G12" s="9" t="s">
        <v>89</v>
      </c>
      <c r="H12" s="4"/>
      <c r="I12" s="9" t="s">
        <v>41</v>
      </c>
      <c r="J12" s="4"/>
      <c r="K12" s="9" t="s">
        <v>90</v>
      </c>
      <c r="L12" s="11">
        <v>8</v>
      </c>
    </row>
    <row r="13" spans="1:12" x14ac:dyDescent="0.3">
      <c r="A13" s="9" t="s">
        <v>91</v>
      </c>
      <c r="B13" s="9" t="s">
        <v>92</v>
      </c>
      <c r="C13" s="9" t="s">
        <v>93</v>
      </c>
      <c r="D13" s="9" t="s">
        <v>94</v>
      </c>
      <c r="E13" s="9" t="s">
        <v>52</v>
      </c>
      <c r="F13" s="9" t="s">
        <v>50</v>
      </c>
      <c r="G13" s="9" t="s">
        <v>95</v>
      </c>
      <c r="H13" s="4"/>
      <c r="I13" s="9" t="s">
        <v>43</v>
      </c>
      <c r="J13" s="4"/>
      <c r="K13" s="9" t="s">
        <v>96</v>
      </c>
      <c r="L13" s="12">
        <v>0.12</v>
      </c>
    </row>
    <row r="14" spans="1:12" x14ac:dyDescent="0.3">
      <c r="A14" s="9" t="s">
        <v>97</v>
      </c>
      <c r="B14" s="9" t="s">
        <v>98</v>
      </c>
      <c r="C14" s="9" t="s">
        <v>99</v>
      </c>
      <c r="D14" s="4"/>
      <c r="E14" s="9" t="s">
        <v>53</v>
      </c>
      <c r="F14" s="9" t="s">
        <v>52</v>
      </c>
      <c r="G14" s="4"/>
      <c r="H14" s="4"/>
      <c r="I14" s="9" t="s">
        <v>45</v>
      </c>
      <c r="J14" s="4"/>
      <c r="K14" s="9" t="s">
        <v>100</v>
      </c>
      <c r="L14" s="13">
        <v>7.4999999999999997E-3</v>
      </c>
    </row>
    <row r="15" spans="1:12" x14ac:dyDescent="0.3">
      <c r="A15" s="9" t="s">
        <v>101</v>
      </c>
      <c r="B15" s="9" t="s">
        <v>102</v>
      </c>
      <c r="C15" s="4"/>
      <c r="D15" s="4"/>
      <c r="E15" s="9" t="s">
        <v>46</v>
      </c>
      <c r="F15" s="9" t="s">
        <v>53</v>
      </c>
      <c r="G15" s="4"/>
      <c r="H15" s="4"/>
      <c r="I15" s="9" t="s">
        <v>47</v>
      </c>
      <c r="J15" s="4"/>
      <c r="K15" s="9" t="s">
        <v>103</v>
      </c>
      <c r="L15" s="14">
        <v>21000</v>
      </c>
    </row>
    <row r="16" spans="1:12" x14ac:dyDescent="0.3">
      <c r="A16" s="9" t="s">
        <v>104</v>
      </c>
      <c r="B16" s="9" t="s">
        <v>105</v>
      </c>
      <c r="C16" s="4"/>
      <c r="D16" s="4"/>
      <c r="E16" s="9" t="s">
        <v>48</v>
      </c>
      <c r="F16" s="4"/>
      <c r="G16" s="4"/>
      <c r="H16" s="4"/>
      <c r="I16" s="9" t="s">
        <v>49</v>
      </c>
      <c r="J16" s="4"/>
      <c r="K16" s="4"/>
      <c r="L16" s="4"/>
    </row>
    <row r="17" spans="1:12" x14ac:dyDescent="0.3">
      <c r="A17" s="4"/>
      <c r="B17" s="9" t="s">
        <v>106</v>
      </c>
      <c r="C17" s="4"/>
      <c r="D17" s="4"/>
      <c r="E17" s="4"/>
      <c r="F17" s="4"/>
      <c r="G17" s="4"/>
      <c r="H17" s="4"/>
      <c r="I17" s="9" t="s">
        <v>51</v>
      </c>
      <c r="J17" s="4"/>
      <c r="K17" s="4"/>
      <c r="L17" s="4"/>
    </row>
    <row r="18" spans="1:12" x14ac:dyDescent="0.3">
      <c r="A18" s="4"/>
      <c r="B18" s="9" t="s">
        <v>107</v>
      </c>
      <c r="C18" s="4"/>
      <c r="D18" s="4"/>
      <c r="E18" s="4"/>
      <c r="F18" s="4"/>
      <c r="G18" s="4"/>
      <c r="H18" s="4"/>
      <c r="I18" s="9" t="s">
        <v>108</v>
      </c>
      <c r="J18" s="4"/>
      <c r="K18" s="4"/>
      <c r="L18" s="4"/>
    </row>
    <row r="19" spans="1:12" x14ac:dyDescent="0.3">
      <c r="A19" s="4"/>
      <c r="B19" s="9" t="s">
        <v>109</v>
      </c>
      <c r="C19" s="4"/>
      <c r="D19" s="4"/>
      <c r="E19" s="4"/>
      <c r="F19" s="4"/>
      <c r="G19" s="4"/>
      <c r="H19" s="4"/>
      <c r="I19" s="9" t="s">
        <v>110</v>
      </c>
      <c r="J19" s="4"/>
      <c r="K19" s="4"/>
      <c r="L19" s="4"/>
    </row>
    <row r="20" spans="1:12" x14ac:dyDescent="0.3">
      <c r="A20" s="4"/>
      <c r="B20" s="9" t="s">
        <v>111</v>
      </c>
      <c r="C20" s="4"/>
      <c r="D20" s="4"/>
      <c r="E20" s="4"/>
      <c r="F20" s="4"/>
      <c r="G20" s="4"/>
      <c r="H20" s="4"/>
      <c r="I20" s="9" t="s">
        <v>112</v>
      </c>
      <c r="J20" s="4"/>
      <c r="K20" s="4"/>
      <c r="L20" s="4"/>
    </row>
    <row r="21" spans="1:12" x14ac:dyDescent="0.3">
      <c r="A21" s="4"/>
      <c r="B21" s="9" t="s">
        <v>113</v>
      </c>
      <c r="C21" s="4"/>
      <c r="D21" s="4"/>
      <c r="E21" s="4"/>
      <c r="F21" s="4"/>
      <c r="G21" s="4"/>
      <c r="H21" s="4"/>
      <c r="I21" s="9" t="s">
        <v>114</v>
      </c>
      <c r="J21" s="4"/>
      <c r="K21" s="4"/>
      <c r="L21" s="4"/>
    </row>
    <row r="22" spans="1:12" x14ac:dyDescent="0.3">
      <c r="A22" s="4"/>
      <c r="B22" s="9" t="s">
        <v>115</v>
      </c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3">
      <c r="A23" s="4"/>
      <c r="B23" s="9" t="s">
        <v>116</v>
      </c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">
      <c r="A24" s="4"/>
      <c r="B24" s="9" t="s">
        <v>117</v>
      </c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</sheetData>
  <mergeCells count="2">
    <mergeCell ref="A1:L1"/>
    <mergeCell ref="A2:L2"/>
  </mergeCells>
  <hyperlinks>
    <hyperlink ref="B3" location="'Employee Master'!A1" display=" PEOPLE " xr:uid="{00000000-0004-0000-0100-000000000000}"/>
    <hyperlink ref="C3" location="'Attendance'!A1" display=" ATTEND. " xr:uid="{00000000-0004-0000-0100-000001000000}"/>
    <hyperlink ref="D3" location="'Leave Tracker'!A1" display=" LEAVE " xr:uid="{00000000-0004-0000-0100-000002000000}"/>
    <hyperlink ref="E3" location="'Payroll'!A1" display=" PAYROLL " xr:uid="{00000000-0004-0000-0100-000003000000}"/>
    <hyperlink ref="F3" location="'Document Tracker'!A1" display=" DOCS " xr:uid="{00000000-0004-0000-0100-000004000000}"/>
    <hyperlink ref="G3" location="'Compliance Center'!A1" display=" COMPLY " xr:uid="{00000000-0004-0000-0100-000005000000}"/>
    <hyperlink ref="H3" location="'Analytics &amp; Reports'!A1" display=" ANALYTICS " xr:uid="{00000000-0004-0000-0100-000006000000}"/>
    <hyperlink ref="I3" location="'Management Dashboard'!A1" display=" MGMT " xr:uid="{00000000-0004-0000-0100-000007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9"/>
  <sheetViews>
    <sheetView showGridLines="0" zoomScaleNormal="100" workbookViewId="0">
      <pane xSplit="2" ySplit="9" topLeftCell="C34" activePane="bottomRight" state="frozen"/>
      <selection pane="topRight" activeCell="C1" sqref="C1"/>
      <selection pane="bottomLeft" activeCell="A10" sqref="A10"/>
      <selection pane="bottomRight" activeCell="H27" sqref="H27"/>
    </sheetView>
  </sheetViews>
  <sheetFormatPr defaultColWidth="8.6640625" defaultRowHeight="14.4" x14ac:dyDescent="0.3"/>
  <cols>
    <col min="1" max="1" width="11" customWidth="1"/>
    <col min="2" max="2" width="14" customWidth="1"/>
    <col min="3" max="3" width="9" customWidth="1"/>
    <col min="4" max="4" width="11.5546875" bestFit="1" customWidth="1"/>
    <col min="5" max="5" width="6" customWidth="1"/>
    <col min="6" max="6" width="11.5546875" bestFit="1" customWidth="1"/>
    <col min="7" max="7" width="9" customWidth="1"/>
    <col min="8" max="8" width="18" customWidth="1"/>
    <col min="9" max="9" width="17" customWidth="1"/>
    <col min="10" max="10" width="13" customWidth="1"/>
    <col min="11" max="11" width="12" customWidth="1"/>
    <col min="12" max="12" width="22" customWidth="1"/>
    <col min="13" max="13" width="12" customWidth="1"/>
    <col min="14" max="14" width="14" customWidth="1"/>
    <col min="15" max="15" width="15" customWidth="1"/>
    <col min="16" max="16" width="11" customWidth="1"/>
    <col min="17" max="18" width="12" customWidth="1"/>
    <col min="19" max="20" width="9" customWidth="1"/>
    <col min="21" max="21" width="13" customWidth="1"/>
    <col min="22" max="22" width="11" customWidth="1"/>
  </cols>
  <sheetData>
    <row r="1" spans="1:22" ht="33.75" customHeight="1" x14ac:dyDescent="0.3">
      <c r="A1" s="26" t="s">
        <v>118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</row>
    <row r="2" spans="1:22" ht="15.75" customHeight="1" x14ac:dyDescent="0.3">
      <c r="A2" s="27" t="s">
        <v>119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2" ht="19.5" customHeight="1" x14ac:dyDescent="0.3">
      <c r="A3" s="2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3.5" customHeight="1" x14ac:dyDescent="0.3">
      <c r="A5" s="4"/>
      <c r="B5" s="28" t="s">
        <v>15</v>
      </c>
      <c r="C5" s="28"/>
      <c r="D5" s="28"/>
      <c r="E5" s="4"/>
      <c r="F5" s="29" t="s">
        <v>16</v>
      </c>
      <c r="G5" s="29"/>
      <c r="H5" s="29"/>
      <c r="I5" s="4"/>
      <c r="J5" s="30" t="s">
        <v>120</v>
      </c>
      <c r="K5" s="30"/>
      <c r="L5" s="30"/>
      <c r="M5" s="4"/>
      <c r="N5" s="31" t="s">
        <v>121</v>
      </c>
      <c r="O5" s="31"/>
      <c r="P5" s="31"/>
      <c r="Q5" s="4"/>
      <c r="R5" s="4"/>
      <c r="S5" s="4"/>
      <c r="T5" s="4"/>
      <c r="U5" s="4"/>
      <c r="V5" s="4"/>
    </row>
    <row r="6" spans="1:22" ht="25.5" customHeight="1" x14ac:dyDescent="0.3">
      <c r="A6" s="4"/>
      <c r="B6" s="32">
        <f>COUNTIF($U$10:$U$109,"Active")</f>
        <v>33</v>
      </c>
      <c r="C6" s="32"/>
      <c r="D6" s="32"/>
      <c r="E6" s="4"/>
      <c r="F6" s="32">
        <f ca="1">COUNTIFS($F$10:$F$109,"&gt;="&amp;TODAY()-30,$F$10:$F$109,"&lt;="&amp;TODAY())</f>
        <v>3</v>
      </c>
      <c r="G6" s="32"/>
      <c r="H6" s="32"/>
      <c r="I6" s="4"/>
      <c r="J6" s="32">
        <f ca="1">COUNTIFS($V$10:$V$109,"&gt;="&amp;TODAY()-90,$V$10:$V$109,"&lt;&gt;"&amp;"")</f>
        <v>2</v>
      </c>
      <c r="K6" s="32"/>
      <c r="L6" s="32"/>
      <c r="M6" s="4"/>
      <c r="N6" s="32">
        <f ca="1">IFERROR(ROUND(AVERAGEIF($U$10:$U$109,"Active",$G$10:$G$109),1),0)</f>
        <v>3</v>
      </c>
      <c r="O6" s="32"/>
      <c r="P6" s="32"/>
      <c r="Q6" s="4"/>
      <c r="R6" s="4"/>
      <c r="S6" s="4"/>
      <c r="T6" s="4"/>
      <c r="U6" s="4"/>
      <c r="V6" s="4"/>
    </row>
    <row r="7" spans="1:22" ht="13.5" customHeight="1" x14ac:dyDescent="0.3">
      <c r="A7" s="4"/>
      <c r="B7" s="33" t="str">
        <f>"of "&amp;COUNTA($A$10:$A$109)&amp;" in roster"</f>
        <v>of 36 in roster</v>
      </c>
      <c r="C7" s="33"/>
      <c r="D7" s="33"/>
      <c r="E7" s="4"/>
      <c r="F7" s="34" t="str">
        <f>"joined in the last 30 days"</f>
        <v>joined in the last 30 days</v>
      </c>
      <c r="G7" s="34"/>
      <c r="H7" s="34"/>
      <c r="I7" s="4"/>
      <c r="J7" s="35" t="str">
        <f>"resigned / terminated"</f>
        <v>resigned / terminated</v>
      </c>
      <c r="K7" s="35"/>
      <c r="L7" s="35"/>
      <c r="M7" s="4"/>
      <c r="N7" s="36" t="str">
        <f>"across active employees"</f>
        <v>across active employees</v>
      </c>
      <c r="O7" s="36"/>
      <c r="P7" s="36"/>
      <c r="Q7" s="4"/>
      <c r="R7" s="4"/>
      <c r="S7" s="4"/>
      <c r="T7" s="4"/>
      <c r="U7" s="4"/>
      <c r="V7" s="4"/>
    </row>
    <row r="8" spans="1:22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30" customHeight="1" x14ac:dyDescent="0.3">
      <c r="A9" s="15" t="s">
        <v>122</v>
      </c>
      <c r="B9" s="15" t="s">
        <v>123</v>
      </c>
      <c r="C9" s="15" t="s">
        <v>124</v>
      </c>
      <c r="D9" s="15" t="s">
        <v>125</v>
      </c>
      <c r="E9" s="15" t="s">
        <v>126</v>
      </c>
      <c r="F9" s="15" t="s">
        <v>127</v>
      </c>
      <c r="G9" s="15" t="s">
        <v>128</v>
      </c>
      <c r="H9" s="15" t="s">
        <v>129</v>
      </c>
      <c r="I9" s="15" t="s">
        <v>130</v>
      </c>
      <c r="J9" s="15" t="s">
        <v>58</v>
      </c>
      <c r="K9" s="15" t="s">
        <v>131</v>
      </c>
      <c r="L9" s="15" t="s">
        <v>132</v>
      </c>
      <c r="M9" s="15" t="s">
        <v>133</v>
      </c>
      <c r="N9" s="15" t="s">
        <v>134</v>
      </c>
      <c r="O9" s="15" t="s">
        <v>135</v>
      </c>
      <c r="P9" s="15" t="s">
        <v>136</v>
      </c>
      <c r="Q9" s="15" t="s">
        <v>137</v>
      </c>
      <c r="R9" s="15" t="s">
        <v>138</v>
      </c>
      <c r="S9" s="15" t="s">
        <v>139</v>
      </c>
      <c r="T9" s="15" t="s">
        <v>140</v>
      </c>
      <c r="U9" s="15" t="s">
        <v>59</v>
      </c>
      <c r="V9" s="15" t="s">
        <v>141</v>
      </c>
    </row>
    <row r="10" spans="1:22" x14ac:dyDescent="0.3">
      <c r="A10" s="9" t="s">
        <v>287</v>
      </c>
      <c r="B10" s="9" t="s">
        <v>144</v>
      </c>
      <c r="C10" s="16" t="s">
        <v>142</v>
      </c>
      <c r="D10" s="17">
        <v>35846</v>
      </c>
      <c r="E10" s="16">
        <f t="shared" ref="E10:E41" ca="1" si="0">IFERROR(DATEDIF(D10,TODAY(),"Y"),"")</f>
        <v>28</v>
      </c>
      <c r="F10" s="17">
        <v>46239</v>
      </c>
      <c r="G10" s="16">
        <f t="shared" ref="G10:G41" ca="1" si="1">IFERROR(ROUND(YEARFRAC(F10,TODAY()),1),"")</f>
        <v>0.1</v>
      </c>
      <c r="H10" s="9" t="s">
        <v>324</v>
      </c>
      <c r="I10" s="9" t="s">
        <v>334</v>
      </c>
      <c r="J10" s="16" t="s">
        <v>68</v>
      </c>
      <c r="K10" s="9"/>
      <c r="L10" s="9"/>
      <c r="M10" s="9"/>
      <c r="N10" s="9"/>
      <c r="O10" s="9"/>
      <c r="P10" s="9"/>
      <c r="Q10" s="14">
        <v>15656</v>
      </c>
      <c r="R10" s="14">
        <v>21150</v>
      </c>
      <c r="S10" s="16" t="s">
        <v>72</v>
      </c>
      <c r="T10" s="16" t="s">
        <v>81</v>
      </c>
      <c r="U10" s="16" t="s">
        <v>69</v>
      </c>
      <c r="V10" s="17"/>
    </row>
    <row r="11" spans="1:22" x14ac:dyDescent="0.3">
      <c r="A11" s="9" t="s">
        <v>288</v>
      </c>
      <c r="B11" s="9" t="s">
        <v>143</v>
      </c>
      <c r="C11" s="16" t="s">
        <v>142</v>
      </c>
      <c r="D11" s="17">
        <v>36116</v>
      </c>
      <c r="E11" s="16">
        <f t="shared" ca="1" si="0"/>
        <v>27</v>
      </c>
      <c r="F11" s="17">
        <v>46244</v>
      </c>
      <c r="G11" s="16">
        <f t="shared" ca="1" si="1"/>
        <v>0.1</v>
      </c>
      <c r="H11" s="9" t="s">
        <v>325</v>
      </c>
      <c r="I11" s="9" t="s">
        <v>102</v>
      </c>
      <c r="J11" s="16" t="s">
        <v>68</v>
      </c>
      <c r="K11" s="9"/>
      <c r="L11" s="9"/>
      <c r="M11" s="9"/>
      <c r="N11" s="9"/>
      <c r="O11" s="9"/>
      <c r="P11" s="9"/>
      <c r="Q11" s="14">
        <v>23632</v>
      </c>
      <c r="R11" s="14">
        <v>31900</v>
      </c>
      <c r="S11" s="16" t="s">
        <v>72</v>
      </c>
      <c r="T11" s="16" t="s">
        <v>81</v>
      </c>
      <c r="U11" s="16" t="s">
        <v>69</v>
      </c>
      <c r="V11" s="17"/>
    </row>
    <row r="12" spans="1:22" x14ac:dyDescent="0.3">
      <c r="A12" s="9" t="s">
        <v>289</v>
      </c>
      <c r="B12" s="9" t="s">
        <v>144</v>
      </c>
      <c r="C12" s="16" t="s">
        <v>142</v>
      </c>
      <c r="D12" s="17">
        <v>37016</v>
      </c>
      <c r="E12" s="16">
        <f t="shared" ca="1" si="0"/>
        <v>25</v>
      </c>
      <c r="F12" s="17">
        <v>46256</v>
      </c>
      <c r="G12" s="16">
        <f t="shared" ca="1" si="1"/>
        <v>0</v>
      </c>
      <c r="H12" s="9" t="s">
        <v>326</v>
      </c>
      <c r="I12" s="9" t="s">
        <v>335</v>
      </c>
      <c r="J12" s="16" t="s">
        <v>68</v>
      </c>
      <c r="K12" s="9"/>
      <c r="L12" s="9"/>
      <c r="M12" s="9"/>
      <c r="N12" s="9"/>
      <c r="O12" s="9"/>
      <c r="P12" s="9"/>
      <c r="Q12" s="14">
        <v>12590</v>
      </c>
      <c r="R12" s="14">
        <v>17000</v>
      </c>
      <c r="S12" s="16" t="s">
        <v>72</v>
      </c>
      <c r="T12" s="16" t="s">
        <v>72</v>
      </c>
      <c r="U12" s="16" t="s">
        <v>69</v>
      </c>
      <c r="V12" s="17"/>
    </row>
    <row r="13" spans="1:22" x14ac:dyDescent="0.3">
      <c r="A13" s="9" t="s">
        <v>290</v>
      </c>
      <c r="B13" s="9" t="s">
        <v>145</v>
      </c>
      <c r="C13" s="16" t="s">
        <v>142</v>
      </c>
      <c r="D13" s="17">
        <v>34155</v>
      </c>
      <c r="E13" s="16">
        <f t="shared" ca="1" si="0"/>
        <v>33</v>
      </c>
      <c r="F13" s="17">
        <v>46197</v>
      </c>
      <c r="G13" s="16">
        <f t="shared" ca="1" si="1"/>
        <v>0.2</v>
      </c>
      <c r="H13" s="9" t="s">
        <v>327</v>
      </c>
      <c r="I13" s="9" t="s">
        <v>336</v>
      </c>
      <c r="J13" s="16" t="s">
        <v>68</v>
      </c>
      <c r="K13" s="9"/>
      <c r="L13" s="9"/>
      <c r="M13" s="9"/>
      <c r="N13" s="9"/>
      <c r="O13" s="9"/>
      <c r="P13" s="9"/>
      <c r="Q13" s="14">
        <v>13039</v>
      </c>
      <c r="R13" s="14">
        <v>17600</v>
      </c>
      <c r="S13" s="16" t="s">
        <v>72</v>
      </c>
      <c r="T13" s="16" t="s">
        <v>72</v>
      </c>
      <c r="U13" s="16" t="s">
        <v>69</v>
      </c>
      <c r="V13" s="17"/>
    </row>
    <row r="14" spans="1:22" x14ac:dyDescent="0.3">
      <c r="A14" s="9" t="s">
        <v>291</v>
      </c>
      <c r="B14" s="9" t="s">
        <v>146</v>
      </c>
      <c r="C14" s="16" t="s">
        <v>142</v>
      </c>
      <c r="D14" s="17">
        <v>33222</v>
      </c>
      <c r="E14" s="16">
        <f t="shared" ca="1" si="0"/>
        <v>35</v>
      </c>
      <c r="F14" s="17">
        <v>46191</v>
      </c>
      <c r="G14" s="16">
        <f t="shared" ca="1" si="1"/>
        <v>0.2</v>
      </c>
      <c r="H14" s="9" t="s">
        <v>328</v>
      </c>
      <c r="I14" s="9" t="s">
        <v>337</v>
      </c>
      <c r="J14" s="16" t="s">
        <v>68</v>
      </c>
      <c r="K14" s="9"/>
      <c r="L14" s="9"/>
      <c r="M14" s="9"/>
      <c r="N14" s="9"/>
      <c r="O14" s="9"/>
      <c r="P14" s="9"/>
      <c r="Q14" s="14">
        <v>14073</v>
      </c>
      <c r="R14" s="14">
        <v>19000</v>
      </c>
      <c r="S14" s="16" t="s">
        <v>72</v>
      </c>
      <c r="T14" s="16" t="s">
        <v>72</v>
      </c>
      <c r="U14" s="16" t="s">
        <v>69</v>
      </c>
      <c r="V14" s="17"/>
    </row>
    <row r="15" spans="1:22" x14ac:dyDescent="0.3">
      <c r="A15" s="9" t="s">
        <v>292</v>
      </c>
      <c r="B15" s="9" t="s">
        <v>147</v>
      </c>
      <c r="C15" s="16" t="s">
        <v>142</v>
      </c>
      <c r="D15" s="17">
        <v>33850</v>
      </c>
      <c r="E15" s="16">
        <f t="shared" ca="1" si="0"/>
        <v>33</v>
      </c>
      <c r="F15" s="17">
        <v>46185</v>
      </c>
      <c r="G15" s="16">
        <f t="shared" ca="1" si="1"/>
        <v>0.2</v>
      </c>
      <c r="H15" s="9" t="s">
        <v>329</v>
      </c>
      <c r="I15" s="9" t="s">
        <v>338</v>
      </c>
      <c r="J15" s="16" t="s">
        <v>86</v>
      </c>
      <c r="K15" s="9"/>
      <c r="L15" s="9"/>
      <c r="M15" s="9"/>
      <c r="N15" s="9"/>
      <c r="O15" s="9"/>
      <c r="P15" s="9"/>
      <c r="Q15" s="14">
        <v>26705</v>
      </c>
      <c r="R15" s="14">
        <v>36050</v>
      </c>
      <c r="S15" s="16" t="s">
        <v>72</v>
      </c>
      <c r="T15" s="16" t="s">
        <v>81</v>
      </c>
      <c r="U15" s="16" t="s">
        <v>69</v>
      </c>
      <c r="V15" s="17"/>
    </row>
    <row r="16" spans="1:22" x14ac:dyDescent="0.3">
      <c r="A16" s="9" t="s">
        <v>293</v>
      </c>
      <c r="B16" s="9" t="s">
        <v>323</v>
      </c>
      <c r="C16" s="16" t="s">
        <v>142</v>
      </c>
      <c r="D16" s="17">
        <v>31339</v>
      </c>
      <c r="E16" s="16">
        <f t="shared" ca="1" si="0"/>
        <v>40</v>
      </c>
      <c r="F16" s="17">
        <v>45871</v>
      </c>
      <c r="G16" s="16">
        <f t="shared" ca="1" si="1"/>
        <v>1.1000000000000001</v>
      </c>
      <c r="H16" s="9" t="s">
        <v>330</v>
      </c>
      <c r="I16" s="9" t="s">
        <v>334</v>
      </c>
      <c r="J16" s="16" t="s">
        <v>68</v>
      </c>
      <c r="K16" s="9"/>
      <c r="L16" s="9"/>
      <c r="M16" s="9"/>
      <c r="N16" s="9"/>
      <c r="O16" s="9"/>
      <c r="P16" s="9"/>
      <c r="Q16" s="14">
        <v>14925</v>
      </c>
      <c r="R16" s="14">
        <v>20150</v>
      </c>
      <c r="S16" s="16" t="s">
        <v>72</v>
      </c>
      <c r="T16" s="16" t="s">
        <v>72</v>
      </c>
      <c r="U16" s="16" t="s">
        <v>69</v>
      </c>
      <c r="V16" s="17"/>
    </row>
    <row r="17" spans="1:22" x14ac:dyDescent="0.3">
      <c r="A17" s="9" t="s">
        <v>294</v>
      </c>
      <c r="B17" s="9" t="s">
        <v>148</v>
      </c>
      <c r="C17" s="16" t="s">
        <v>142</v>
      </c>
      <c r="D17" s="17">
        <v>36479</v>
      </c>
      <c r="E17" s="16">
        <f t="shared" ca="1" si="0"/>
        <v>26</v>
      </c>
      <c r="F17" s="17">
        <v>43823</v>
      </c>
      <c r="G17" s="16">
        <f t="shared" ca="1" si="1"/>
        <v>6.7</v>
      </c>
      <c r="H17" s="9" t="s">
        <v>331</v>
      </c>
      <c r="I17" s="9" t="s">
        <v>102</v>
      </c>
      <c r="J17" s="16" t="s">
        <v>68</v>
      </c>
      <c r="K17" s="9"/>
      <c r="L17" s="9"/>
      <c r="M17" s="9"/>
      <c r="N17" s="9"/>
      <c r="O17" s="9"/>
      <c r="P17" s="9"/>
      <c r="Q17" s="14">
        <v>21570</v>
      </c>
      <c r="R17" s="14">
        <v>29100</v>
      </c>
      <c r="S17" s="16" t="s">
        <v>72</v>
      </c>
      <c r="T17" s="16" t="s">
        <v>81</v>
      </c>
      <c r="U17" s="16" t="s">
        <v>69</v>
      </c>
      <c r="V17" s="17"/>
    </row>
    <row r="18" spans="1:22" x14ac:dyDescent="0.3">
      <c r="A18" s="9" t="s">
        <v>295</v>
      </c>
      <c r="B18" s="9" t="s">
        <v>149</v>
      </c>
      <c r="C18" s="16" t="s">
        <v>142</v>
      </c>
      <c r="D18" s="17">
        <v>36717</v>
      </c>
      <c r="E18" s="16">
        <f t="shared" ca="1" si="0"/>
        <v>26</v>
      </c>
      <c r="F18" s="17">
        <v>45065</v>
      </c>
      <c r="G18" s="16">
        <f t="shared" ca="1" si="1"/>
        <v>3.3</v>
      </c>
      <c r="H18" s="9" t="s">
        <v>332</v>
      </c>
      <c r="I18" s="9" t="s">
        <v>335</v>
      </c>
      <c r="J18" s="16" t="s">
        <v>68</v>
      </c>
      <c r="K18" s="9"/>
      <c r="L18" s="9"/>
      <c r="M18" s="9"/>
      <c r="N18" s="9"/>
      <c r="O18" s="9"/>
      <c r="P18" s="9"/>
      <c r="Q18" s="14">
        <v>19532</v>
      </c>
      <c r="R18" s="14">
        <v>26350</v>
      </c>
      <c r="S18" s="16" t="s">
        <v>72</v>
      </c>
      <c r="T18" s="16" t="s">
        <v>81</v>
      </c>
      <c r="U18" s="16" t="s">
        <v>69</v>
      </c>
      <c r="V18" s="17"/>
    </row>
    <row r="19" spans="1:22" x14ac:dyDescent="0.3">
      <c r="A19" s="9" t="s">
        <v>296</v>
      </c>
      <c r="B19" s="9" t="s">
        <v>150</v>
      </c>
      <c r="C19" s="16" t="s">
        <v>142</v>
      </c>
      <c r="D19" s="17">
        <v>30178</v>
      </c>
      <c r="E19" s="16">
        <f t="shared" ca="1" si="0"/>
        <v>44</v>
      </c>
      <c r="F19" s="17">
        <v>44279</v>
      </c>
      <c r="G19" s="16">
        <f t="shared" ca="1" si="1"/>
        <v>5.4</v>
      </c>
      <c r="H19" s="9" t="s">
        <v>333</v>
      </c>
      <c r="I19" s="9" t="s">
        <v>336</v>
      </c>
      <c r="J19" s="16" t="s">
        <v>86</v>
      </c>
      <c r="K19" s="9"/>
      <c r="L19" s="9"/>
      <c r="M19" s="9"/>
      <c r="N19" s="9"/>
      <c r="O19" s="9"/>
      <c r="P19" s="9"/>
      <c r="Q19" s="14">
        <v>19959</v>
      </c>
      <c r="R19" s="14">
        <v>26950</v>
      </c>
      <c r="S19" s="16" t="s">
        <v>72</v>
      </c>
      <c r="T19" s="16" t="s">
        <v>81</v>
      </c>
      <c r="U19" s="16" t="s">
        <v>69</v>
      </c>
      <c r="V19" s="17"/>
    </row>
    <row r="20" spans="1:22" x14ac:dyDescent="0.3">
      <c r="A20" s="9" t="s">
        <v>297</v>
      </c>
      <c r="B20" s="9" t="s">
        <v>151</v>
      </c>
      <c r="C20" s="16" t="s">
        <v>142</v>
      </c>
      <c r="D20" s="17">
        <v>28893</v>
      </c>
      <c r="E20" s="16">
        <f t="shared" ca="1" si="0"/>
        <v>47</v>
      </c>
      <c r="F20" s="17">
        <v>44137</v>
      </c>
      <c r="G20" s="16">
        <f t="shared" ca="1" si="1"/>
        <v>5.8</v>
      </c>
      <c r="H20" s="9" t="s">
        <v>324</v>
      </c>
      <c r="I20" s="9" t="s">
        <v>337</v>
      </c>
      <c r="J20" s="16" t="s">
        <v>68</v>
      </c>
      <c r="K20" s="9"/>
      <c r="L20" s="9"/>
      <c r="M20" s="9"/>
      <c r="N20" s="9"/>
      <c r="O20" s="9"/>
      <c r="P20" s="9"/>
      <c r="Q20" s="14">
        <v>15179</v>
      </c>
      <c r="R20" s="14">
        <v>20500</v>
      </c>
      <c r="S20" s="16" t="s">
        <v>72</v>
      </c>
      <c r="T20" s="16" t="s">
        <v>72</v>
      </c>
      <c r="U20" s="16" t="s">
        <v>69</v>
      </c>
      <c r="V20" s="17"/>
    </row>
    <row r="21" spans="1:22" x14ac:dyDescent="0.3">
      <c r="A21" s="9" t="s">
        <v>298</v>
      </c>
      <c r="B21" s="9" t="s">
        <v>152</v>
      </c>
      <c r="C21" s="16" t="s">
        <v>142</v>
      </c>
      <c r="D21" s="17">
        <v>29840</v>
      </c>
      <c r="E21" s="16">
        <f t="shared" ca="1" si="0"/>
        <v>44</v>
      </c>
      <c r="F21" s="17">
        <v>44612</v>
      </c>
      <c r="G21" s="16">
        <f t="shared" ca="1" si="1"/>
        <v>4.5</v>
      </c>
      <c r="H21" s="9" t="s">
        <v>325</v>
      </c>
      <c r="I21" s="9" t="s">
        <v>338</v>
      </c>
      <c r="J21" s="16" t="s">
        <v>93</v>
      </c>
      <c r="K21" s="9"/>
      <c r="L21" s="9"/>
      <c r="M21" s="9"/>
      <c r="N21" s="9"/>
      <c r="O21" s="9"/>
      <c r="P21" s="9"/>
      <c r="Q21" s="14">
        <v>12736</v>
      </c>
      <c r="R21" s="14">
        <v>17200</v>
      </c>
      <c r="S21" s="16" t="s">
        <v>81</v>
      </c>
      <c r="T21" s="16" t="s">
        <v>72</v>
      </c>
      <c r="U21" s="16" t="s">
        <v>69</v>
      </c>
      <c r="V21" s="17"/>
    </row>
    <row r="22" spans="1:22" x14ac:dyDescent="0.3">
      <c r="A22" s="9" t="s">
        <v>299</v>
      </c>
      <c r="B22" s="9" t="s">
        <v>153</v>
      </c>
      <c r="C22" s="16" t="s">
        <v>142</v>
      </c>
      <c r="D22" s="17">
        <v>34073</v>
      </c>
      <c r="E22" s="16">
        <f t="shared" ca="1" si="0"/>
        <v>33</v>
      </c>
      <c r="F22" s="17">
        <v>45016</v>
      </c>
      <c r="G22" s="16">
        <f t="shared" ca="1" si="1"/>
        <v>3.4</v>
      </c>
      <c r="H22" s="9" t="s">
        <v>326</v>
      </c>
      <c r="I22" s="9" t="s">
        <v>334</v>
      </c>
      <c r="J22" s="16" t="s">
        <v>68</v>
      </c>
      <c r="K22" s="9"/>
      <c r="L22" s="9"/>
      <c r="M22" s="9"/>
      <c r="N22" s="9"/>
      <c r="O22" s="9"/>
      <c r="P22" s="9"/>
      <c r="Q22" s="14">
        <v>14932</v>
      </c>
      <c r="R22" s="14">
        <v>20150</v>
      </c>
      <c r="S22" s="16" t="s">
        <v>72</v>
      </c>
      <c r="T22" s="16" t="s">
        <v>72</v>
      </c>
      <c r="U22" s="16" t="s">
        <v>69</v>
      </c>
      <c r="V22" s="17"/>
    </row>
    <row r="23" spans="1:22" x14ac:dyDescent="0.3">
      <c r="A23" s="9" t="s">
        <v>300</v>
      </c>
      <c r="B23" s="9" t="s">
        <v>154</v>
      </c>
      <c r="C23" s="16" t="s">
        <v>142</v>
      </c>
      <c r="D23" s="17">
        <v>36896</v>
      </c>
      <c r="E23" s="16">
        <f t="shared" ca="1" si="0"/>
        <v>25</v>
      </c>
      <c r="F23" s="17">
        <v>43383</v>
      </c>
      <c r="G23" s="16">
        <f t="shared" ca="1" si="1"/>
        <v>7.9</v>
      </c>
      <c r="H23" s="9" t="s">
        <v>327</v>
      </c>
      <c r="I23" s="9" t="s">
        <v>102</v>
      </c>
      <c r="J23" s="16" t="s">
        <v>68</v>
      </c>
      <c r="K23" s="9"/>
      <c r="L23" s="9"/>
      <c r="M23" s="9"/>
      <c r="N23" s="9"/>
      <c r="O23" s="9"/>
      <c r="P23" s="9"/>
      <c r="Q23" s="14">
        <v>14714</v>
      </c>
      <c r="R23" s="14">
        <v>19850</v>
      </c>
      <c r="S23" s="16" t="s">
        <v>72</v>
      </c>
      <c r="T23" s="16" t="s">
        <v>72</v>
      </c>
      <c r="U23" s="16" t="s">
        <v>69</v>
      </c>
      <c r="V23" s="17"/>
    </row>
    <row r="24" spans="1:22" x14ac:dyDescent="0.3">
      <c r="A24" s="9" t="s">
        <v>301</v>
      </c>
      <c r="B24" s="9" t="s">
        <v>155</v>
      </c>
      <c r="C24" s="16" t="s">
        <v>142</v>
      </c>
      <c r="D24" s="17">
        <v>37032</v>
      </c>
      <c r="E24" s="16">
        <f t="shared" ca="1" si="0"/>
        <v>25</v>
      </c>
      <c r="F24" s="17">
        <v>45895</v>
      </c>
      <c r="G24" s="16">
        <f t="shared" ca="1" si="1"/>
        <v>1</v>
      </c>
      <c r="H24" s="9" t="s">
        <v>328</v>
      </c>
      <c r="I24" s="9" t="s">
        <v>335</v>
      </c>
      <c r="J24" s="16" t="s">
        <v>93</v>
      </c>
      <c r="K24" s="9"/>
      <c r="L24" s="9"/>
      <c r="M24" s="9"/>
      <c r="N24" s="9"/>
      <c r="O24" s="9"/>
      <c r="P24" s="9"/>
      <c r="Q24" s="14">
        <v>22609</v>
      </c>
      <c r="R24" s="14">
        <v>30500</v>
      </c>
      <c r="S24" s="16" t="s">
        <v>81</v>
      </c>
      <c r="T24" s="16" t="s">
        <v>81</v>
      </c>
      <c r="U24" s="16" t="s">
        <v>69</v>
      </c>
      <c r="V24" s="17"/>
    </row>
    <row r="25" spans="1:22" x14ac:dyDescent="0.3">
      <c r="A25" s="9" t="s">
        <v>302</v>
      </c>
      <c r="B25" s="9" t="s">
        <v>156</v>
      </c>
      <c r="C25" s="16" t="s">
        <v>142</v>
      </c>
      <c r="D25" s="17">
        <v>34663</v>
      </c>
      <c r="E25" s="16">
        <f t="shared" ca="1" si="0"/>
        <v>31</v>
      </c>
      <c r="F25" s="17">
        <v>45755</v>
      </c>
      <c r="G25" s="16">
        <f t="shared" ca="1" si="1"/>
        <v>1.4</v>
      </c>
      <c r="H25" s="9" t="s">
        <v>329</v>
      </c>
      <c r="I25" s="9" t="s">
        <v>336</v>
      </c>
      <c r="J25" s="16" t="s">
        <v>93</v>
      </c>
      <c r="K25" s="9"/>
      <c r="L25" s="9"/>
      <c r="M25" s="9"/>
      <c r="N25" s="9"/>
      <c r="O25" s="9"/>
      <c r="P25" s="9"/>
      <c r="Q25" s="14">
        <v>11708</v>
      </c>
      <c r="R25" s="14">
        <v>15800</v>
      </c>
      <c r="S25" s="16" t="s">
        <v>81</v>
      </c>
      <c r="T25" s="16" t="s">
        <v>72</v>
      </c>
      <c r="U25" s="16" t="s">
        <v>69</v>
      </c>
      <c r="V25" s="17"/>
    </row>
    <row r="26" spans="1:22" x14ac:dyDescent="0.3">
      <c r="A26" s="9" t="s">
        <v>303</v>
      </c>
      <c r="B26" s="9" t="s">
        <v>157</v>
      </c>
      <c r="C26" s="16" t="s">
        <v>142</v>
      </c>
      <c r="D26" s="17">
        <v>29881</v>
      </c>
      <c r="E26" s="16">
        <f t="shared" ca="1" si="0"/>
        <v>44</v>
      </c>
      <c r="F26" s="17">
        <v>44679</v>
      </c>
      <c r="G26" s="16">
        <f t="shared" ca="1" si="1"/>
        <v>4.3</v>
      </c>
      <c r="H26" s="9" t="s">
        <v>330</v>
      </c>
      <c r="I26" s="9" t="s">
        <v>337</v>
      </c>
      <c r="J26" s="16" t="s">
        <v>68</v>
      </c>
      <c r="K26" s="9"/>
      <c r="L26" s="9"/>
      <c r="M26" s="9"/>
      <c r="N26" s="9"/>
      <c r="O26" s="9"/>
      <c r="P26" s="9"/>
      <c r="Q26" s="14">
        <v>19944</v>
      </c>
      <c r="R26" s="14">
        <v>26900</v>
      </c>
      <c r="S26" s="16" t="s">
        <v>72</v>
      </c>
      <c r="T26" s="16" t="s">
        <v>81</v>
      </c>
      <c r="U26" s="16" t="s">
        <v>69</v>
      </c>
      <c r="V26" s="17"/>
    </row>
    <row r="27" spans="1:22" x14ac:dyDescent="0.3">
      <c r="A27" s="9" t="s">
        <v>304</v>
      </c>
      <c r="B27" s="9" t="s">
        <v>158</v>
      </c>
      <c r="C27" s="16" t="s">
        <v>159</v>
      </c>
      <c r="D27" s="17">
        <v>31242</v>
      </c>
      <c r="E27" s="16">
        <f t="shared" ca="1" si="0"/>
        <v>41</v>
      </c>
      <c r="F27" s="17">
        <v>45580</v>
      </c>
      <c r="G27" s="16">
        <f t="shared" ca="1" si="1"/>
        <v>1.9</v>
      </c>
      <c r="H27" s="9" t="s">
        <v>331</v>
      </c>
      <c r="I27" s="9" t="s">
        <v>338</v>
      </c>
      <c r="J27" s="16" t="s">
        <v>68</v>
      </c>
      <c r="K27" s="9"/>
      <c r="L27" s="9"/>
      <c r="M27" s="9"/>
      <c r="N27" s="9"/>
      <c r="O27" s="9"/>
      <c r="P27" s="9"/>
      <c r="Q27" s="14">
        <v>21806</v>
      </c>
      <c r="R27" s="14">
        <v>29450</v>
      </c>
      <c r="S27" s="16" t="s">
        <v>72</v>
      </c>
      <c r="T27" s="16" t="s">
        <v>81</v>
      </c>
      <c r="U27" s="16" t="s">
        <v>69</v>
      </c>
      <c r="V27" s="17"/>
    </row>
    <row r="28" spans="1:22" x14ac:dyDescent="0.3">
      <c r="A28" s="9" t="s">
        <v>305</v>
      </c>
      <c r="B28" s="9" t="s">
        <v>160</v>
      </c>
      <c r="C28" s="16" t="s">
        <v>159</v>
      </c>
      <c r="D28" s="17">
        <v>33206</v>
      </c>
      <c r="E28" s="16">
        <f t="shared" ca="1" si="0"/>
        <v>35</v>
      </c>
      <c r="F28" s="17">
        <v>44689</v>
      </c>
      <c r="G28" s="16">
        <f t="shared" ca="1" si="1"/>
        <v>4.3</v>
      </c>
      <c r="H28" s="9" t="s">
        <v>332</v>
      </c>
      <c r="I28" s="9" t="s">
        <v>334</v>
      </c>
      <c r="J28" s="16" t="s">
        <v>68</v>
      </c>
      <c r="K28" s="9"/>
      <c r="L28" s="9"/>
      <c r="M28" s="9"/>
      <c r="N28" s="9"/>
      <c r="O28" s="9"/>
      <c r="P28" s="9"/>
      <c r="Q28" s="14">
        <v>15949</v>
      </c>
      <c r="R28" s="14">
        <v>21550</v>
      </c>
      <c r="S28" s="16" t="s">
        <v>72</v>
      </c>
      <c r="T28" s="16" t="s">
        <v>81</v>
      </c>
      <c r="U28" s="16" t="s">
        <v>69</v>
      </c>
      <c r="V28" s="17"/>
    </row>
    <row r="29" spans="1:22" x14ac:dyDescent="0.3">
      <c r="A29" s="9" t="s">
        <v>306</v>
      </c>
      <c r="B29" s="9" t="s">
        <v>161</v>
      </c>
      <c r="C29" s="16" t="s">
        <v>159</v>
      </c>
      <c r="D29" s="17">
        <v>32116</v>
      </c>
      <c r="E29" s="16">
        <f t="shared" ca="1" si="0"/>
        <v>38</v>
      </c>
      <c r="F29" s="17">
        <v>44668</v>
      </c>
      <c r="G29" s="16">
        <f t="shared" ca="1" si="1"/>
        <v>4.4000000000000004</v>
      </c>
      <c r="H29" s="9" t="s">
        <v>333</v>
      </c>
      <c r="I29" s="9" t="s">
        <v>102</v>
      </c>
      <c r="J29" s="16" t="s">
        <v>93</v>
      </c>
      <c r="K29" s="9"/>
      <c r="L29" s="9"/>
      <c r="M29" s="9"/>
      <c r="N29" s="9"/>
      <c r="O29" s="9"/>
      <c r="P29" s="9"/>
      <c r="Q29" s="14">
        <v>19913</v>
      </c>
      <c r="R29" s="14">
        <v>26900</v>
      </c>
      <c r="S29" s="16" t="s">
        <v>81</v>
      </c>
      <c r="T29" s="16" t="s">
        <v>81</v>
      </c>
      <c r="U29" s="16" t="s">
        <v>69</v>
      </c>
      <c r="V29" s="17"/>
    </row>
    <row r="30" spans="1:22" x14ac:dyDescent="0.3">
      <c r="A30" s="9" t="s">
        <v>307</v>
      </c>
      <c r="B30" s="9" t="s">
        <v>162</v>
      </c>
      <c r="C30" s="16" t="s">
        <v>159</v>
      </c>
      <c r="D30" s="17">
        <v>33720</v>
      </c>
      <c r="E30" s="16">
        <f t="shared" ca="1" si="0"/>
        <v>34</v>
      </c>
      <c r="F30" s="17">
        <v>44529</v>
      </c>
      <c r="G30" s="16">
        <f t="shared" ca="1" si="1"/>
        <v>4.8</v>
      </c>
      <c r="H30" s="9" t="s">
        <v>324</v>
      </c>
      <c r="I30" s="9" t="s">
        <v>335</v>
      </c>
      <c r="J30" s="16" t="s">
        <v>68</v>
      </c>
      <c r="K30" s="9"/>
      <c r="L30" s="9"/>
      <c r="M30" s="9"/>
      <c r="N30" s="9"/>
      <c r="O30" s="9"/>
      <c r="P30" s="9"/>
      <c r="Q30" s="14">
        <v>13357</v>
      </c>
      <c r="R30" s="14">
        <v>18050</v>
      </c>
      <c r="S30" s="16" t="s">
        <v>72</v>
      </c>
      <c r="T30" s="16" t="s">
        <v>72</v>
      </c>
      <c r="U30" s="16" t="s">
        <v>69</v>
      </c>
      <c r="V30" s="17"/>
    </row>
    <row r="31" spans="1:22" x14ac:dyDescent="0.3">
      <c r="A31" s="9" t="s">
        <v>308</v>
      </c>
      <c r="B31" s="9" t="s">
        <v>163</v>
      </c>
      <c r="C31" s="16" t="s">
        <v>142</v>
      </c>
      <c r="D31" s="17">
        <v>27135</v>
      </c>
      <c r="E31" s="16">
        <f t="shared" ca="1" si="0"/>
        <v>52</v>
      </c>
      <c r="F31" s="17">
        <v>45377</v>
      </c>
      <c r="G31" s="16">
        <f t="shared" ca="1" si="1"/>
        <v>2.4</v>
      </c>
      <c r="H31" s="9" t="s">
        <v>325</v>
      </c>
      <c r="I31" s="9" t="s">
        <v>336</v>
      </c>
      <c r="J31" s="16" t="s">
        <v>68</v>
      </c>
      <c r="K31" s="9"/>
      <c r="L31" s="9"/>
      <c r="M31" s="9"/>
      <c r="N31" s="9"/>
      <c r="O31" s="9"/>
      <c r="P31" s="9"/>
      <c r="Q31" s="14">
        <v>14320</v>
      </c>
      <c r="R31" s="14">
        <v>19350</v>
      </c>
      <c r="S31" s="16" t="s">
        <v>72</v>
      </c>
      <c r="T31" s="16" t="s">
        <v>72</v>
      </c>
      <c r="U31" s="16" t="s">
        <v>69</v>
      </c>
      <c r="V31" s="17"/>
    </row>
    <row r="32" spans="1:22" x14ac:dyDescent="0.3">
      <c r="A32" s="9" t="s">
        <v>309</v>
      </c>
      <c r="B32" s="9" t="s">
        <v>164</v>
      </c>
      <c r="C32" s="16" t="s">
        <v>142</v>
      </c>
      <c r="D32" s="17">
        <v>33059</v>
      </c>
      <c r="E32" s="16">
        <f t="shared" ca="1" si="0"/>
        <v>36</v>
      </c>
      <c r="F32" s="17">
        <v>45241</v>
      </c>
      <c r="G32" s="16">
        <f t="shared" ca="1" si="1"/>
        <v>2.8</v>
      </c>
      <c r="H32" s="9" t="s">
        <v>326</v>
      </c>
      <c r="I32" s="9" t="s">
        <v>337</v>
      </c>
      <c r="J32" s="16" t="s">
        <v>68</v>
      </c>
      <c r="K32" s="9"/>
      <c r="L32" s="9"/>
      <c r="M32" s="9"/>
      <c r="N32" s="9"/>
      <c r="O32" s="9"/>
      <c r="P32" s="9"/>
      <c r="Q32" s="14">
        <v>14266</v>
      </c>
      <c r="R32" s="14">
        <v>19250</v>
      </c>
      <c r="S32" s="16" t="s">
        <v>72</v>
      </c>
      <c r="T32" s="16" t="s">
        <v>72</v>
      </c>
      <c r="U32" s="16" t="s">
        <v>69</v>
      </c>
      <c r="V32" s="17"/>
    </row>
    <row r="33" spans="1:22" x14ac:dyDescent="0.3">
      <c r="A33" s="9" t="s">
        <v>310</v>
      </c>
      <c r="B33" s="9" t="s">
        <v>165</v>
      </c>
      <c r="C33" s="16" t="s">
        <v>142</v>
      </c>
      <c r="D33" s="17">
        <v>36060</v>
      </c>
      <c r="E33" s="16">
        <f t="shared" ca="1" si="0"/>
        <v>27</v>
      </c>
      <c r="F33" s="17">
        <v>45679</v>
      </c>
      <c r="G33" s="16">
        <f t="shared" ca="1" si="1"/>
        <v>1.6</v>
      </c>
      <c r="H33" s="9" t="s">
        <v>327</v>
      </c>
      <c r="I33" s="9" t="s">
        <v>338</v>
      </c>
      <c r="J33" s="16" t="s">
        <v>93</v>
      </c>
      <c r="K33" s="9"/>
      <c r="L33" s="9"/>
      <c r="M33" s="9"/>
      <c r="N33" s="9"/>
      <c r="O33" s="9"/>
      <c r="P33" s="9"/>
      <c r="Q33" s="14">
        <v>13132</v>
      </c>
      <c r="R33" s="14">
        <v>17750</v>
      </c>
      <c r="S33" s="16" t="s">
        <v>81</v>
      </c>
      <c r="T33" s="16" t="s">
        <v>72</v>
      </c>
      <c r="U33" s="16" t="s">
        <v>69</v>
      </c>
      <c r="V33" s="17"/>
    </row>
    <row r="34" spans="1:22" x14ac:dyDescent="0.3">
      <c r="A34" s="9" t="s">
        <v>311</v>
      </c>
      <c r="B34" s="9" t="s">
        <v>166</v>
      </c>
      <c r="C34" s="16" t="s">
        <v>142</v>
      </c>
      <c r="D34" s="17">
        <v>27427</v>
      </c>
      <c r="E34" s="16">
        <f t="shared" ca="1" si="0"/>
        <v>51</v>
      </c>
      <c r="F34" s="17">
        <v>45823</v>
      </c>
      <c r="G34" s="16">
        <f t="shared" ca="1" si="1"/>
        <v>1.2</v>
      </c>
      <c r="H34" s="9" t="s">
        <v>328</v>
      </c>
      <c r="I34" s="9" t="s">
        <v>334</v>
      </c>
      <c r="J34" s="16" t="s">
        <v>68</v>
      </c>
      <c r="K34" s="9"/>
      <c r="L34" s="9"/>
      <c r="M34" s="9"/>
      <c r="N34" s="9"/>
      <c r="O34" s="9"/>
      <c r="P34" s="9"/>
      <c r="Q34" s="14">
        <v>12892</v>
      </c>
      <c r="R34" s="14">
        <v>17400</v>
      </c>
      <c r="S34" s="16" t="s">
        <v>72</v>
      </c>
      <c r="T34" s="16" t="s">
        <v>72</v>
      </c>
      <c r="U34" s="16" t="s">
        <v>69</v>
      </c>
      <c r="V34" s="17"/>
    </row>
    <row r="35" spans="1:22" x14ac:dyDescent="0.3">
      <c r="A35" s="9" t="s">
        <v>312</v>
      </c>
      <c r="B35" s="9" t="s">
        <v>167</v>
      </c>
      <c r="C35" s="16" t="s">
        <v>159</v>
      </c>
      <c r="D35" s="17">
        <v>26931</v>
      </c>
      <c r="E35" s="16">
        <f t="shared" ca="1" si="0"/>
        <v>52</v>
      </c>
      <c r="F35" s="17">
        <v>44735</v>
      </c>
      <c r="G35" s="16">
        <f t="shared" ca="1" si="1"/>
        <v>4.2</v>
      </c>
      <c r="H35" s="9" t="s">
        <v>329</v>
      </c>
      <c r="I35" s="9" t="s">
        <v>102</v>
      </c>
      <c r="J35" s="16" t="s">
        <v>68</v>
      </c>
      <c r="K35" s="9"/>
      <c r="L35" s="9"/>
      <c r="M35" s="9"/>
      <c r="N35" s="9"/>
      <c r="O35" s="9"/>
      <c r="P35" s="9"/>
      <c r="Q35" s="14">
        <v>23491</v>
      </c>
      <c r="R35" s="14">
        <v>31700</v>
      </c>
      <c r="S35" s="16" t="s">
        <v>72</v>
      </c>
      <c r="T35" s="16" t="s">
        <v>81</v>
      </c>
      <c r="U35" s="16" t="s">
        <v>69</v>
      </c>
      <c r="V35" s="17"/>
    </row>
    <row r="36" spans="1:22" x14ac:dyDescent="0.3">
      <c r="A36" s="9" t="s">
        <v>313</v>
      </c>
      <c r="B36" s="9" t="s">
        <v>168</v>
      </c>
      <c r="C36" s="16" t="s">
        <v>142</v>
      </c>
      <c r="D36" s="17">
        <v>28264</v>
      </c>
      <c r="E36" s="16">
        <f t="shared" ca="1" si="0"/>
        <v>49</v>
      </c>
      <c r="F36" s="17">
        <v>45306</v>
      </c>
      <c r="G36" s="16">
        <f t="shared" ca="1" si="1"/>
        <v>2.6</v>
      </c>
      <c r="H36" s="9" t="s">
        <v>330</v>
      </c>
      <c r="I36" s="9" t="s">
        <v>335</v>
      </c>
      <c r="J36" s="16" t="s">
        <v>68</v>
      </c>
      <c r="K36" s="9"/>
      <c r="L36" s="9"/>
      <c r="M36" s="9"/>
      <c r="N36" s="9"/>
      <c r="O36" s="9"/>
      <c r="P36" s="9"/>
      <c r="Q36" s="14">
        <v>13243</v>
      </c>
      <c r="R36" s="14">
        <v>17900</v>
      </c>
      <c r="S36" s="16" t="s">
        <v>72</v>
      </c>
      <c r="T36" s="16" t="s">
        <v>72</v>
      </c>
      <c r="U36" s="16" t="s">
        <v>69</v>
      </c>
      <c r="V36" s="17"/>
    </row>
    <row r="37" spans="1:22" x14ac:dyDescent="0.3">
      <c r="A37" s="9" t="s">
        <v>314</v>
      </c>
      <c r="B37" s="9" t="s">
        <v>169</v>
      </c>
      <c r="C37" s="16" t="s">
        <v>142</v>
      </c>
      <c r="D37" s="17">
        <v>28661</v>
      </c>
      <c r="E37" s="16">
        <f t="shared" ca="1" si="0"/>
        <v>48</v>
      </c>
      <c r="F37" s="17">
        <v>45921</v>
      </c>
      <c r="G37" s="16">
        <f t="shared" ca="1" si="1"/>
        <v>0.9</v>
      </c>
      <c r="H37" s="9" t="s">
        <v>331</v>
      </c>
      <c r="I37" s="9" t="s">
        <v>336</v>
      </c>
      <c r="J37" s="16" t="s">
        <v>93</v>
      </c>
      <c r="K37" s="9"/>
      <c r="L37" s="9"/>
      <c r="M37" s="9"/>
      <c r="N37" s="9"/>
      <c r="O37" s="9"/>
      <c r="P37" s="9"/>
      <c r="Q37" s="14">
        <v>14398</v>
      </c>
      <c r="R37" s="14">
        <v>19450</v>
      </c>
      <c r="S37" s="16" t="s">
        <v>81</v>
      </c>
      <c r="T37" s="16" t="s">
        <v>72</v>
      </c>
      <c r="U37" s="16" t="s">
        <v>69</v>
      </c>
      <c r="V37" s="17"/>
    </row>
    <row r="38" spans="1:22" x14ac:dyDescent="0.3">
      <c r="A38" s="9" t="s">
        <v>315</v>
      </c>
      <c r="B38" s="9" t="s">
        <v>170</v>
      </c>
      <c r="C38" s="16" t="s">
        <v>159</v>
      </c>
      <c r="D38" s="17">
        <v>25729</v>
      </c>
      <c r="E38" s="16">
        <f t="shared" ca="1" si="0"/>
        <v>56</v>
      </c>
      <c r="F38" s="17">
        <v>44026</v>
      </c>
      <c r="G38" s="16">
        <f t="shared" ca="1" si="1"/>
        <v>6.1</v>
      </c>
      <c r="H38" s="9" t="s">
        <v>332</v>
      </c>
      <c r="I38" s="9" t="s">
        <v>337</v>
      </c>
      <c r="J38" s="16" t="s">
        <v>68</v>
      </c>
      <c r="K38" s="9"/>
      <c r="L38" s="9"/>
      <c r="M38" s="9"/>
      <c r="N38" s="9"/>
      <c r="O38" s="9"/>
      <c r="P38" s="9"/>
      <c r="Q38" s="14">
        <v>22605</v>
      </c>
      <c r="R38" s="14">
        <v>30500</v>
      </c>
      <c r="S38" s="16" t="s">
        <v>72</v>
      </c>
      <c r="T38" s="16" t="s">
        <v>81</v>
      </c>
      <c r="U38" s="16" t="s">
        <v>69</v>
      </c>
      <c r="V38" s="17"/>
    </row>
    <row r="39" spans="1:22" x14ac:dyDescent="0.3">
      <c r="A39" s="9" t="s">
        <v>316</v>
      </c>
      <c r="B39" s="9" t="s">
        <v>171</v>
      </c>
      <c r="C39" s="16" t="s">
        <v>159</v>
      </c>
      <c r="D39" s="17">
        <v>26951</v>
      </c>
      <c r="E39" s="16">
        <f t="shared" ca="1" si="0"/>
        <v>52</v>
      </c>
      <c r="F39" s="17">
        <v>45678</v>
      </c>
      <c r="G39" s="16">
        <f t="shared" ca="1" si="1"/>
        <v>1.6</v>
      </c>
      <c r="H39" s="9" t="s">
        <v>333</v>
      </c>
      <c r="I39" s="9" t="s">
        <v>338</v>
      </c>
      <c r="J39" s="16" t="s">
        <v>68</v>
      </c>
      <c r="K39" s="9"/>
      <c r="L39" s="9"/>
      <c r="M39" s="9"/>
      <c r="N39" s="9"/>
      <c r="O39" s="9"/>
      <c r="P39" s="9"/>
      <c r="Q39" s="14">
        <v>14170</v>
      </c>
      <c r="R39" s="14">
        <v>19150</v>
      </c>
      <c r="S39" s="16" t="s">
        <v>72</v>
      </c>
      <c r="T39" s="16" t="s">
        <v>72</v>
      </c>
      <c r="U39" s="16" t="s">
        <v>69</v>
      </c>
      <c r="V39" s="17"/>
    </row>
    <row r="40" spans="1:22" x14ac:dyDescent="0.3">
      <c r="A40" s="9" t="s">
        <v>317</v>
      </c>
      <c r="B40" s="9" t="s">
        <v>172</v>
      </c>
      <c r="C40" s="16" t="s">
        <v>142</v>
      </c>
      <c r="D40" s="17">
        <v>33701</v>
      </c>
      <c r="E40" s="16">
        <f t="shared" ca="1" si="0"/>
        <v>34</v>
      </c>
      <c r="F40" s="17">
        <v>45998</v>
      </c>
      <c r="G40" s="16">
        <f t="shared" ca="1" si="1"/>
        <v>0.7</v>
      </c>
      <c r="H40" s="9" t="s">
        <v>324</v>
      </c>
      <c r="I40" s="9" t="s">
        <v>334</v>
      </c>
      <c r="J40" s="16" t="s">
        <v>68</v>
      </c>
      <c r="K40" s="9"/>
      <c r="L40" s="9"/>
      <c r="M40" s="9"/>
      <c r="N40" s="9"/>
      <c r="O40" s="9"/>
      <c r="P40" s="9"/>
      <c r="Q40" s="14">
        <v>23159</v>
      </c>
      <c r="R40" s="14">
        <v>31250</v>
      </c>
      <c r="S40" s="16" t="s">
        <v>72</v>
      </c>
      <c r="T40" s="16" t="s">
        <v>81</v>
      </c>
      <c r="U40" s="16" t="s">
        <v>69</v>
      </c>
      <c r="V40" s="17"/>
    </row>
    <row r="41" spans="1:22" x14ac:dyDescent="0.3">
      <c r="A41" s="9" t="s">
        <v>318</v>
      </c>
      <c r="B41" s="9" t="s">
        <v>173</v>
      </c>
      <c r="C41" s="16" t="s">
        <v>142</v>
      </c>
      <c r="D41" s="17">
        <v>26227</v>
      </c>
      <c r="E41" s="16">
        <f t="shared" ca="1" si="0"/>
        <v>54</v>
      </c>
      <c r="F41" s="17">
        <v>44073</v>
      </c>
      <c r="G41" s="16">
        <f t="shared" ca="1" si="1"/>
        <v>6</v>
      </c>
      <c r="H41" s="9" t="s">
        <v>325</v>
      </c>
      <c r="I41" s="9" t="s">
        <v>102</v>
      </c>
      <c r="J41" s="16" t="s">
        <v>68</v>
      </c>
      <c r="K41" s="9"/>
      <c r="L41" s="9"/>
      <c r="M41" s="9"/>
      <c r="N41" s="9"/>
      <c r="O41" s="9"/>
      <c r="P41" s="9"/>
      <c r="Q41" s="14">
        <v>13770</v>
      </c>
      <c r="R41" s="14">
        <v>18600</v>
      </c>
      <c r="S41" s="16" t="s">
        <v>72</v>
      </c>
      <c r="T41" s="16" t="s">
        <v>72</v>
      </c>
      <c r="U41" s="16" t="s">
        <v>69</v>
      </c>
      <c r="V41" s="17"/>
    </row>
    <row r="42" spans="1:22" x14ac:dyDescent="0.3">
      <c r="A42" s="9" t="s">
        <v>319</v>
      </c>
      <c r="B42" s="9" t="s">
        <v>174</v>
      </c>
      <c r="C42" s="16" t="s">
        <v>142</v>
      </c>
      <c r="D42" s="17">
        <v>26039</v>
      </c>
      <c r="E42" s="16">
        <f t="shared" ref="E42:E73" ca="1" si="2">IFERROR(DATEDIF(D42,TODAY(),"Y"),"")</f>
        <v>55</v>
      </c>
      <c r="F42" s="17">
        <v>43879</v>
      </c>
      <c r="G42" s="16">
        <f t="shared" ref="G42:G73" ca="1" si="3">IFERROR(ROUND(YEARFRAC(F42,TODAY()),1),"")</f>
        <v>6.5</v>
      </c>
      <c r="H42" s="9" t="s">
        <v>326</v>
      </c>
      <c r="I42" s="9" t="s">
        <v>335</v>
      </c>
      <c r="J42" s="16" t="s">
        <v>93</v>
      </c>
      <c r="K42" s="9"/>
      <c r="L42" s="9"/>
      <c r="M42" s="9"/>
      <c r="N42" s="9"/>
      <c r="O42" s="9"/>
      <c r="P42" s="9"/>
      <c r="Q42" s="14">
        <v>20659</v>
      </c>
      <c r="R42" s="14">
        <v>27900</v>
      </c>
      <c r="S42" s="16" t="s">
        <v>81</v>
      </c>
      <c r="T42" s="16" t="s">
        <v>81</v>
      </c>
      <c r="U42" s="16" t="s">
        <v>69</v>
      </c>
      <c r="V42" s="17"/>
    </row>
    <row r="43" spans="1:22" x14ac:dyDescent="0.3">
      <c r="A43" s="9" t="s">
        <v>320</v>
      </c>
      <c r="B43" s="9" t="s">
        <v>175</v>
      </c>
      <c r="C43" s="16" t="s">
        <v>159</v>
      </c>
      <c r="D43" s="17">
        <v>30883</v>
      </c>
      <c r="E43" s="16">
        <f t="shared" ca="1" si="2"/>
        <v>42</v>
      </c>
      <c r="F43" s="17">
        <v>43421</v>
      </c>
      <c r="G43" s="16">
        <f t="shared" ca="1" si="3"/>
        <v>7.8</v>
      </c>
      <c r="H43" s="9" t="s">
        <v>327</v>
      </c>
      <c r="I43" s="9" t="s">
        <v>336</v>
      </c>
      <c r="J43" s="16" t="s">
        <v>86</v>
      </c>
      <c r="K43" s="9"/>
      <c r="L43" s="9"/>
      <c r="M43" s="9"/>
      <c r="N43" s="9"/>
      <c r="O43" s="9"/>
      <c r="P43" s="9"/>
      <c r="Q43" s="14">
        <v>12099</v>
      </c>
      <c r="R43" s="14">
        <v>16350</v>
      </c>
      <c r="S43" s="16" t="s">
        <v>72</v>
      </c>
      <c r="T43" s="16" t="s">
        <v>72</v>
      </c>
      <c r="U43" s="16" t="s">
        <v>94</v>
      </c>
      <c r="V43" s="17">
        <v>46224</v>
      </c>
    </row>
    <row r="44" spans="1:22" x14ac:dyDescent="0.3">
      <c r="A44" s="9" t="s">
        <v>321</v>
      </c>
      <c r="B44" s="9" t="s">
        <v>176</v>
      </c>
      <c r="C44" s="16" t="s">
        <v>142</v>
      </c>
      <c r="D44" s="17">
        <v>34808</v>
      </c>
      <c r="E44" s="16">
        <f t="shared" ca="1" si="2"/>
        <v>31</v>
      </c>
      <c r="F44" s="17">
        <v>45608</v>
      </c>
      <c r="G44" s="16">
        <f t="shared" ca="1" si="3"/>
        <v>1.8</v>
      </c>
      <c r="H44" s="9" t="s">
        <v>328</v>
      </c>
      <c r="I44" s="9" t="s">
        <v>337</v>
      </c>
      <c r="J44" s="16" t="s">
        <v>93</v>
      </c>
      <c r="K44" s="9"/>
      <c r="L44" s="9"/>
      <c r="M44" s="9"/>
      <c r="N44" s="9"/>
      <c r="O44" s="9"/>
      <c r="P44" s="9"/>
      <c r="Q44" s="14">
        <v>13298</v>
      </c>
      <c r="R44" s="14">
        <v>17950</v>
      </c>
      <c r="S44" s="16" t="s">
        <v>81</v>
      </c>
      <c r="T44" s="16" t="s">
        <v>72</v>
      </c>
      <c r="U44" s="16" t="s">
        <v>78</v>
      </c>
      <c r="V44" s="17"/>
    </row>
    <row r="45" spans="1:22" x14ac:dyDescent="0.3">
      <c r="A45" s="9" t="s">
        <v>322</v>
      </c>
      <c r="B45" s="9" t="s">
        <v>177</v>
      </c>
      <c r="C45" s="16" t="s">
        <v>159</v>
      </c>
      <c r="D45" s="17">
        <v>34211</v>
      </c>
      <c r="E45" s="16">
        <f t="shared" ca="1" si="2"/>
        <v>33</v>
      </c>
      <c r="F45" s="17">
        <v>44403</v>
      </c>
      <c r="G45" s="16">
        <f t="shared" ca="1" si="3"/>
        <v>5.0999999999999996</v>
      </c>
      <c r="H45" s="9" t="s">
        <v>329</v>
      </c>
      <c r="I45" s="9" t="s">
        <v>334</v>
      </c>
      <c r="J45" s="16" t="s">
        <v>93</v>
      </c>
      <c r="K45" s="9"/>
      <c r="L45" s="9"/>
      <c r="M45" s="9"/>
      <c r="N45" s="9"/>
      <c r="O45" s="9"/>
      <c r="P45" s="9"/>
      <c r="Q45" s="14">
        <v>22308</v>
      </c>
      <c r="R45" s="14">
        <v>30100</v>
      </c>
      <c r="S45" s="16" t="s">
        <v>81</v>
      </c>
      <c r="T45" s="16" t="s">
        <v>81</v>
      </c>
      <c r="U45" s="16" t="s">
        <v>87</v>
      </c>
      <c r="V45" s="17">
        <v>46248</v>
      </c>
    </row>
    <row r="46" spans="1:22" x14ac:dyDescent="0.3">
      <c r="A46" s="9"/>
      <c r="B46" s="9"/>
      <c r="C46" s="16"/>
      <c r="D46" s="17"/>
      <c r="E46" s="16">
        <f t="shared" ca="1" si="2"/>
        <v>126</v>
      </c>
      <c r="F46" s="17"/>
      <c r="G46" s="16">
        <f t="shared" ca="1" si="3"/>
        <v>126.7</v>
      </c>
      <c r="H46" s="9"/>
      <c r="I46" s="9"/>
      <c r="J46" s="16"/>
      <c r="K46" s="9"/>
      <c r="L46" s="9"/>
      <c r="M46" s="9"/>
      <c r="N46" s="9"/>
      <c r="O46" s="9"/>
      <c r="P46" s="9"/>
      <c r="Q46" s="14"/>
      <c r="R46" s="14"/>
      <c r="S46" s="16"/>
      <c r="T46" s="16"/>
      <c r="U46" s="16"/>
      <c r="V46" s="17"/>
    </row>
    <row r="47" spans="1:22" x14ac:dyDescent="0.3">
      <c r="A47" s="9"/>
      <c r="B47" s="9"/>
      <c r="C47" s="16"/>
      <c r="D47" s="17"/>
      <c r="E47" s="16">
        <f t="shared" ca="1" si="2"/>
        <v>126</v>
      </c>
      <c r="F47" s="17"/>
      <c r="G47" s="16">
        <f t="shared" ca="1" si="3"/>
        <v>126.7</v>
      </c>
      <c r="H47" s="9"/>
      <c r="I47" s="9"/>
      <c r="J47" s="16"/>
      <c r="K47" s="9"/>
      <c r="L47" s="9"/>
      <c r="M47" s="9"/>
      <c r="N47" s="9"/>
      <c r="O47" s="9"/>
      <c r="P47" s="9"/>
      <c r="Q47" s="14"/>
      <c r="R47" s="14"/>
      <c r="S47" s="16"/>
      <c r="T47" s="16"/>
      <c r="U47" s="16"/>
      <c r="V47" s="17"/>
    </row>
    <row r="48" spans="1:22" x14ac:dyDescent="0.3">
      <c r="A48" s="9"/>
      <c r="B48" s="9"/>
      <c r="C48" s="16"/>
      <c r="D48" s="17"/>
      <c r="E48" s="16">
        <f t="shared" ca="1" si="2"/>
        <v>126</v>
      </c>
      <c r="F48" s="17"/>
      <c r="G48" s="16">
        <f t="shared" ca="1" si="3"/>
        <v>126.7</v>
      </c>
      <c r="H48" s="9"/>
      <c r="I48" s="9"/>
      <c r="J48" s="16"/>
      <c r="K48" s="9"/>
      <c r="L48" s="9"/>
      <c r="M48" s="9"/>
      <c r="N48" s="9"/>
      <c r="O48" s="9"/>
      <c r="P48" s="9"/>
      <c r="Q48" s="14"/>
      <c r="R48" s="14"/>
      <c r="S48" s="16"/>
      <c r="T48" s="16"/>
      <c r="U48" s="16"/>
      <c r="V48" s="17"/>
    </row>
    <row r="49" spans="1:22" x14ac:dyDescent="0.3">
      <c r="A49" s="9"/>
      <c r="B49" s="9"/>
      <c r="C49" s="16"/>
      <c r="D49" s="17"/>
      <c r="E49" s="16">
        <f t="shared" ca="1" si="2"/>
        <v>126</v>
      </c>
      <c r="F49" s="17"/>
      <c r="G49" s="16">
        <f t="shared" ca="1" si="3"/>
        <v>126.7</v>
      </c>
      <c r="H49" s="9"/>
      <c r="I49" s="9"/>
      <c r="J49" s="16"/>
      <c r="K49" s="9"/>
      <c r="L49" s="9"/>
      <c r="M49" s="9"/>
      <c r="N49" s="9"/>
      <c r="O49" s="9"/>
      <c r="P49" s="9"/>
      <c r="Q49" s="14"/>
      <c r="R49" s="14"/>
      <c r="S49" s="16"/>
      <c r="T49" s="16"/>
      <c r="U49" s="16"/>
      <c r="V49" s="17"/>
    </row>
    <row r="50" spans="1:22" x14ac:dyDescent="0.3">
      <c r="A50" s="9"/>
      <c r="B50" s="9"/>
      <c r="C50" s="16"/>
      <c r="D50" s="17"/>
      <c r="E50" s="16">
        <f t="shared" ca="1" si="2"/>
        <v>126</v>
      </c>
      <c r="F50" s="17"/>
      <c r="G50" s="16">
        <f t="shared" ca="1" si="3"/>
        <v>126.7</v>
      </c>
      <c r="H50" s="9"/>
      <c r="I50" s="9"/>
      <c r="J50" s="16"/>
      <c r="K50" s="9"/>
      <c r="L50" s="9"/>
      <c r="M50" s="9"/>
      <c r="N50" s="9"/>
      <c r="O50" s="9"/>
      <c r="P50" s="9"/>
      <c r="Q50" s="14"/>
      <c r="R50" s="14"/>
      <c r="S50" s="16"/>
      <c r="T50" s="16"/>
      <c r="U50" s="16"/>
      <c r="V50" s="17"/>
    </row>
    <row r="51" spans="1:22" x14ac:dyDescent="0.3">
      <c r="A51" s="9"/>
      <c r="B51" s="9"/>
      <c r="C51" s="16"/>
      <c r="D51" s="17"/>
      <c r="E51" s="16">
        <f t="shared" ca="1" si="2"/>
        <v>126</v>
      </c>
      <c r="F51" s="17"/>
      <c r="G51" s="16">
        <f t="shared" ca="1" si="3"/>
        <v>126.7</v>
      </c>
      <c r="H51" s="9"/>
      <c r="I51" s="9"/>
      <c r="J51" s="16"/>
      <c r="K51" s="9"/>
      <c r="L51" s="9"/>
      <c r="M51" s="9"/>
      <c r="N51" s="9"/>
      <c r="O51" s="9"/>
      <c r="P51" s="9"/>
      <c r="Q51" s="14"/>
      <c r="R51" s="14"/>
      <c r="S51" s="16"/>
      <c r="T51" s="16"/>
      <c r="U51" s="16"/>
      <c r="V51" s="17"/>
    </row>
    <row r="52" spans="1:22" x14ac:dyDescent="0.3">
      <c r="A52" s="9"/>
      <c r="B52" s="9"/>
      <c r="C52" s="16"/>
      <c r="D52" s="17"/>
      <c r="E52" s="16">
        <f t="shared" ca="1" si="2"/>
        <v>126</v>
      </c>
      <c r="F52" s="17"/>
      <c r="G52" s="16">
        <f t="shared" ca="1" si="3"/>
        <v>126.7</v>
      </c>
      <c r="H52" s="9"/>
      <c r="I52" s="9"/>
      <c r="J52" s="16"/>
      <c r="K52" s="9"/>
      <c r="L52" s="9"/>
      <c r="M52" s="9"/>
      <c r="N52" s="9"/>
      <c r="O52" s="9"/>
      <c r="P52" s="9"/>
      <c r="Q52" s="14"/>
      <c r="R52" s="14"/>
      <c r="S52" s="16"/>
      <c r="T52" s="16"/>
      <c r="U52" s="16"/>
      <c r="V52" s="17"/>
    </row>
    <row r="53" spans="1:22" x14ac:dyDescent="0.3">
      <c r="A53" s="9"/>
      <c r="B53" s="9"/>
      <c r="C53" s="16"/>
      <c r="D53" s="17"/>
      <c r="E53" s="16">
        <f t="shared" ca="1" si="2"/>
        <v>126</v>
      </c>
      <c r="F53" s="17"/>
      <c r="G53" s="16">
        <f t="shared" ca="1" si="3"/>
        <v>126.7</v>
      </c>
      <c r="H53" s="9"/>
      <c r="I53" s="9"/>
      <c r="J53" s="16"/>
      <c r="K53" s="9"/>
      <c r="L53" s="9"/>
      <c r="M53" s="9"/>
      <c r="N53" s="9"/>
      <c r="O53" s="9"/>
      <c r="P53" s="9"/>
      <c r="Q53" s="14"/>
      <c r="R53" s="14"/>
      <c r="S53" s="16"/>
      <c r="T53" s="16"/>
      <c r="U53" s="16"/>
      <c r="V53" s="17"/>
    </row>
    <row r="54" spans="1:22" x14ac:dyDescent="0.3">
      <c r="A54" s="9"/>
      <c r="B54" s="9"/>
      <c r="C54" s="16"/>
      <c r="D54" s="17"/>
      <c r="E54" s="16">
        <f t="shared" ca="1" si="2"/>
        <v>126</v>
      </c>
      <c r="F54" s="17"/>
      <c r="G54" s="16">
        <f t="shared" ca="1" si="3"/>
        <v>126.7</v>
      </c>
      <c r="H54" s="9"/>
      <c r="I54" s="9"/>
      <c r="J54" s="16"/>
      <c r="K54" s="9"/>
      <c r="L54" s="9"/>
      <c r="M54" s="9"/>
      <c r="N54" s="9"/>
      <c r="O54" s="9"/>
      <c r="P54" s="9"/>
      <c r="Q54" s="14"/>
      <c r="R54" s="14"/>
      <c r="S54" s="16"/>
      <c r="T54" s="16"/>
      <c r="U54" s="16"/>
      <c r="V54" s="17"/>
    </row>
    <row r="55" spans="1:22" x14ac:dyDescent="0.3">
      <c r="A55" s="9"/>
      <c r="B55" s="9"/>
      <c r="C55" s="16"/>
      <c r="D55" s="17"/>
      <c r="E55" s="16">
        <f t="shared" ca="1" si="2"/>
        <v>126</v>
      </c>
      <c r="F55" s="17"/>
      <c r="G55" s="16">
        <f t="shared" ca="1" si="3"/>
        <v>126.7</v>
      </c>
      <c r="H55" s="9"/>
      <c r="I55" s="9"/>
      <c r="J55" s="16"/>
      <c r="K55" s="9"/>
      <c r="L55" s="9"/>
      <c r="M55" s="9"/>
      <c r="N55" s="9"/>
      <c r="O55" s="9"/>
      <c r="P55" s="9"/>
      <c r="Q55" s="14"/>
      <c r="R55" s="14"/>
      <c r="S55" s="16"/>
      <c r="T55" s="16"/>
      <c r="U55" s="16"/>
      <c r="V55" s="17"/>
    </row>
    <row r="56" spans="1:22" x14ac:dyDescent="0.3">
      <c r="A56" s="9"/>
      <c r="B56" s="9"/>
      <c r="C56" s="16"/>
      <c r="D56" s="17"/>
      <c r="E56" s="16">
        <f t="shared" ca="1" si="2"/>
        <v>126</v>
      </c>
      <c r="F56" s="17"/>
      <c r="G56" s="16">
        <f t="shared" ca="1" si="3"/>
        <v>126.7</v>
      </c>
      <c r="H56" s="9"/>
      <c r="I56" s="9"/>
      <c r="J56" s="16"/>
      <c r="K56" s="9"/>
      <c r="L56" s="9"/>
      <c r="M56" s="9"/>
      <c r="N56" s="9"/>
      <c r="O56" s="9"/>
      <c r="P56" s="9"/>
      <c r="Q56" s="14"/>
      <c r="R56" s="14"/>
      <c r="S56" s="16"/>
      <c r="T56" s="16"/>
      <c r="U56" s="16"/>
      <c r="V56" s="17"/>
    </row>
    <row r="57" spans="1:22" x14ac:dyDescent="0.3">
      <c r="A57" s="9"/>
      <c r="B57" s="9"/>
      <c r="C57" s="16"/>
      <c r="D57" s="17"/>
      <c r="E57" s="16">
        <f t="shared" ca="1" si="2"/>
        <v>126</v>
      </c>
      <c r="F57" s="17"/>
      <c r="G57" s="16">
        <f t="shared" ca="1" si="3"/>
        <v>126.7</v>
      </c>
      <c r="H57" s="9"/>
      <c r="I57" s="9"/>
      <c r="J57" s="16"/>
      <c r="K57" s="9"/>
      <c r="L57" s="9"/>
      <c r="M57" s="9"/>
      <c r="N57" s="9"/>
      <c r="O57" s="9"/>
      <c r="P57" s="9"/>
      <c r="Q57" s="14"/>
      <c r="R57" s="14"/>
      <c r="S57" s="16"/>
      <c r="T57" s="16"/>
      <c r="U57" s="16"/>
      <c r="V57" s="17"/>
    </row>
    <row r="58" spans="1:22" x14ac:dyDescent="0.3">
      <c r="A58" s="9"/>
      <c r="B58" s="9"/>
      <c r="C58" s="16"/>
      <c r="D58" s="17"/>
      <c r="E58" s="16">
        <f t="shared" ca="1" si="2"/>
        <v>126</v>
      </c>
      <c r="F58" s="17"/>
      <c r="G58" s="16">
        <f t="shared" ca="1" si="3"/>
        <v>126.7</v>
      </c>
      <c r="H58" s="9"/>
      <c r="I58" s="9"/>
      <c r="J58" s="16"/>
      <c r="K58" s="9"/>
      <c r="L58" s="9"/>
      <c r="M58" s="9"/>
      <c r="N58" s="9"/>
      <c r="O58" s="9"/>
      <c r="P58" s="9"/>
      <c r="Q58" s="14"/>
      <c r="R58" s="14"/>
      <c r="S58" s="16"/>
      <c r="T58" s="16"/>
      <c r="U58" s="16"/>
      <c r="V58" s="17"/>
    </row>
    <row r="59" spans="1:22" x14ac:dyDescent="0.3">
      <c r="A59" s="9"/>
      <c r="B59" s="9"/>
      <c r="C59" s="16"/>
      <c r="D59" s="17"/>
      <c r="E59" s="16">
        <f t="shared" ca="1" si="2"/>
        <v>126</v>
      </c>
      <c r="F59" s="17"/>
      <c r="G59" s="16">
        <f t="shared" ca="1" si="3"/>
        <v>126.7</v>
      </c>
      <c r="H59" s="9"/>
      <c r="I59" s="9"/>
      <c r="J59" s="16"/>
      <c r="K59" s="9"/>
      <c r="L59" s="9"/>
      <c r="M59" s="9"/>
      <c r="N59" s="9"/>
      <c r="O59" s="9"/>
      <c r="P59" s="9"/>
      <c r="Q59" s="14"/>
      <c r="R59" s="14"/>
      <c r="S59" s="16"/>
      <c r="T59" s="16"/>
      <c r="U59" s="16"/>
      <c r="V59" s="17"/>
    </row>
    <row r="60" spans="1:22" x14ac:dyDescent="0.3">
      <c r="A60" s="9"/>
      <c r="B60" s="9"/>
      <c r="C60" s="16"/>
      <c r="D60" s="17"/>
      <c r="E60" s="16">
        <f t="shared" ca="1" si="2"/>
        <v>126</v>
      </c>
      <c r="F60" s="17"/>
      <c r="G60" s="16">
        <f t="shared" ca="1" si="3"/>
        <v>126.7</v>
      </c>
      <c r="H60" s="9"/>
      <c r="I60" s="9"/>
      <c r="J60" s="16"/>
      <c r="K60" s="9"/>
      <c r="L60" s="9"/>
      <c r="M60" s="9"/>
      <c r="N60" s="9"/>
      <c r="O60" s="9"/>
      <c r="P60" s="9"/>
      <c r="Q60" s="14"/>
      <c r="R60" s="14"/>
      <c r="S60" s="16"/>
      <c r="T60" s="16"/>
      <c r="U60" s="16"/>
      <c r="V60" s="17"/>
    </row>
    <row r="61" spans="1:22" x14ac:dyDescent="0.3">
      <c r="A61" s="9"/>
      <c r="B61" s="9"/>
      <c r="C61" s="16"/>
      <c r="D61" s="17"/>
      <c r="E61" s="16">
        <f t="shared" ca="1" si="2"/>
        <v>126</v>
      </c>
      <c r="F61" s="17"/>
      <c r="G61" s="16">
        <f t="shared" ca="1" si="3"/>
        <v>126.7</v>
      </c>
      <c r="H61" s="9"/>
      <c r="I61" s="9"/>
      <c r="J61" s="16"/>
      <c r="K61" s="9"/>
      <c r="L61" s="9"/>
      <c r="M61" s="9"/>
      <c r="N61" s="9"/>
      <c r="O61" s="9"/>
      <c r="P61" s="9"/>
      <c r="Q61" s="14"/>
      <c r="R61" s="14"/>
      <c r="S61" s="16"/>
      <c r="T61" s="16"/>
      <c r="U61" s="16"/>
      <c r="V61" s="17"/>
    </row>
    <row r="62" spans="1:22" x14ac:dyDescent="0.3">
      <c r="A62" s="9"/>
      <c r="B62" s="9"/>
      <c r="C62" s="16"/>
      <c r="D62" s="17"/>
      <c r="E62" s="16">
        <f t="shared" ca="1" si="2"/>
        <v>126</v>
      </c>
      <c r="F62" s="17"/>
      <c r="G62" s="16">
        <f t="shared" ca="1" si="3"/>
        <v>126.7</v>
      </c>
      <c r="H62" s="9"/>
      <c r="I62" s="9"/>
      <c r="J62" s="16"/>
      <c r="K62" s="9"/>
      <c r="L62" s="9"/>
      <c r="M62" s="9"/>
      <c r="N62" s="9"/>
      <c r="O62" s="9"/>
      <c r="P62" s="9"/>
      <c r="Q62" s="14"/>
      <c r="R62" s="14"/>
      <c r="S62" s="16"/>
      <c r="T62" s="16"/>
      <c r="U62" s="16"/>
      <c r="V62" s="17"/>
    </row>
    <row r="63" spans="1:22" x14ac:dyDescent="0.3">
      <c r="A63" s="9"/>
      <c r="B63" s="9"/>
      <c r="C63" s="16"/>
      <c r="D63" s="17"/>
      <c r="E63" s="16">
        <f t="shared" ca="1" si="2"/>
        <v>126</v>
      </c>
      <c r="F63" s="17"/>
      <c r="G63" s="16">
        <f t="shared" ca="1" si="3"/>
        <v>126.7</v>
      </c>
      <c r="H63" s="9"/>
      <c r="I63" s="9"/>
      <c r="J63" s="16"/>
      <c r="K63" s="9"/>
      <c r="L63" s="9"/>
      <c r="M63" s="9"/>
      <c r="N63" s="9"/>
      <c r="O63" s="9"/>
      <c r="P63" s="9"/>
      <c r="Q63" s="14"/>
      <c r="R63" s="14"/>
      <c r="S63" s="16"/>
      <c r="T63" s="16"/>
      <c r="U63" s="16"/>
      <c r="V63" s="17"/>
    </row>
    <row r="64" spans="1:22" x14ac:dyDescent="0.3">
      <c r="A64" s="9"/>
      <c r="B64" s="9"/>
      <c r="C64" s="16"/>
      <c r="D64" s="17"/>
      <c r="E64" s="16">
        <f t="shared" ca="1" si="2"/>
        <v>126</v>
      </c>
      <c r="F64" s="17"/>
      <c r="G64" s="16">
        <f t="shared" ca="1" si="3"/>
        <v>126.7</v>
      </c>
      <c r="H64" s="9"/>
      <c r="I64" s="9"/>
      <c r="J64" s="16"/>
      <c r="K64" s="9"/>
      <c r="L64" s="9"/>
      <c r="M64" s="9"/>
      <c r="N64" s="9"/>
      <c r="O64" s="9"/>
      <c r="P64" s="9"/>
      <c r="Q64" s="14"/>
      <c r="R64" s="14"/>
      <c r="S64" s="16"/>
      <c r="T64" s="16"/>
      <c r="U64" s="16"/>
      <c r="V64" s="17"/>
    </row>
    <row r="65" spans="1:22" x14ac:dyDescent="0.3">
      <c r="A65" s="9"/>
      <c r="B65" s="9"/>
      <c r="C65" s="16"/>
      <c r="D65" s="17"/>
      <c r="E65" s="16">
        <f t="shared" ca="1" si="2"/>
        <v>126</v>
      </c>
      <c r="F65" s="17"/>
      <c r="G65" s="16">
        <f t="shared" ca="1" si="3"/>
        <v>126.7</v>
      </c>
      <c r="H65" s="9"/>
      <c r="I65" s="9"/>
      <c r="J65" s="16"/>
      <c r="K65" s="9"/>
      <c r="L65" s="9"/>
      <c r="M65" s="9"/>
      <c r="N65" s="9"/>
      <c r="O65" s="9"/>
      <c r="P65" s="9"/>
      <c r="Q65" s="14"/>
      <c r="R65" s="14"/>
      <c r="S65" s="16"/>
      <c r="T65" s="16"/>
      <c r="U65" s="16"/>
      <c r="V65" s="17"/>
    </row>
    <row r="66" spans="1:22" x14ac:dyDescent="0.3">
      <c r="A66" s="9"/>
      <c r="B66" s="9"/>
      <c r="C66" s="16"/>
      <c r="D66" s="17"/>
      <c r="E66" s="16">
        <f t="shared" ca="1" si="2"/>
        <v>126</v>
      </c>
      <c r="F66" s="17"/>
      <c r="G66" s="16">
        <f t="shared" ca="1" si="3"/>
        <v>126.7</v>
      </c>
      <c r="H66" s="9"/>
      <c r="I66" s="9"/>
      <c r="J66" s="16"/>
      <c r="K66" s="9"/>
      <c r="L66" s="9"/>
      <c r="M66" s="9"/>
      <c r="N66" s="9"/>
      <c r="O66" s="9"/>
      <c r="P66" s="9"/>
      <c r="Q66" s="14"/>
      <c r="R66" s="14"/>
      <c r="S66" s="16"/>
      <c r="T66" s="16"/>
      <c r="U66" s="16"/>
      <c r="V66" s="17"/>
    </row>
    <row r="67" spans="1:22" x14ac:dyDescent="0.3">
      <c r="A67" s="9"/>
      <c r="B67" s="9"/>
      <c r="C67" s="16"/>
      <c r="D67" s="17"/>
      <c r="E67" s="16">
        <f t="shared" ca="1" si="2"/>
        <v>126</v>
      </c>
      <c r="F67" s="17"/>
      <c r="G67" s="16">
        <f t="shared" ca="1" si="3"/>
        <v>126.7</v>
      </c>
      <c r="H67" s="9"/>
      <c r="I67" s="9"/>
      <c r="J67" s="16"/>
      <c r="K67" s="9"/>
      <c r="L67" s="9"/>
      <c r="M67" s="9"/>
      <c r="N67" s="9"/>
      <c r="O67" s="9"/>
      <c r="P67" s="9"/>
      <c r="Q67" s="14"/>
      <c r="R67" s="14"/>
      <c r="S67" s="16"/>
      <c r="T67" s="16"/>
      <c r="U67" s="16"/>
      <c r="V67" s="17"/>
    </row>
    <row r="68" spans="1:22" x14ac:dyDescent="0.3">
      <c r="A68" s="9"/>
      <c r="B68" s="9"/>
      <c r="C68" s="16"/>
      <c r="D68" s="17"/>
      <c r="E68" s="16">
        <f t="shared" ca="1" si="2"/>
        <v>126</v>
      </c>
      <c r="F68" s="17"/>
      <c r="G68" s="16">
        <f t="shared" ca="1" si="3"/>
        <v>126.7</v>
      </c>
      <c r="H68" s="9"/>
      <c r="I68" s="9"/>
      <c r="J68" s="16"/>
      <c r="K68" s="9"/>
      <c r="L68" s="9"/>
      <c r="M68" s="9"/>
      <c r="N68" s="9"/>
      <c r="O68" s="9"/>
      <c r="P68" s="9"/>
      <c r="Q68" s="14"/>
      <c r="R68" s="14"/>
      <c r="S68" s="16"/>
      <c r="T68" s="16"/>
      <c r="U68" s="16"/>
      <c r="V68" s="17"/>
    </row>
    <row r="69" spans="1:22" x14ac:dyDescent="0.3">
      <c r="A69" s="9"/>
      <c r="B69" s="9"/>
      <c r="C69" s="16"/>
      <c r="D69" s="17"/>
      <c r="E69" s="16">
        <f t="shared" ca="1" si="2"/>
        <v>126</v>
      </c>
      <c r="F69" s="17"/>
      <c r="G69" s="16">
        <f t="shared" ca="1" si="3"/>
        <v>126.7</v>
      </c>
      <c r="H69" s="9"/>
      <c r="I69" s="9"/>
      <c r="J69" s="16"/>
      <c r="K69" s="9"/>
      <c r="L69" s="9"/>
      <c r="M69" s="9"/>
      <c r="N69" s="9"/>
      <c r="O69" s="9"/>
      <c r="P69" s="9"/>
      <c r="Q69" s="14"/>
      <c r="R69" s="14"/>
      <c r="S69" s="16"/>
      <c r="T69" s="16"/>
      <c r="U69" s="16"/>
      <c r="V69" s="17"/>
    </row>
    <row r="70" spans="1:22" x14ac:dyDescent="0.3">
      <c r="A70" s="9"/>
      <c r="B70" s="9"/>
      <c r="C70" s="16"/>
      <c r="D70" s="17"/>
      <c r="E70" s="16">
        <f t="shared" ca="1" si="2"/>
        <v>126</v>
      </c>
      <c r="F70" s="17"/>
      <c r="G70" s="16">
        <f t="shared" ca="1" si="3"/>
        <v>126.7</v>
      </c>
      <c r="H70" s="9"/>
      <c r="I70" s="9"/>
      <c r="J70" s="16"/>
      <c r="K70" s="9"/>
      <c r="L70" s="9"/>
      <c r="M70" s="9"/>
      <c r="N70" s="9"/>
      <c r="O70" s="9"/>
      <c r="P70" s="9"/>
      <c r="Q70" s="14"/>
      <c r="R70" s="14"/>
      <c r="S70" s="16"/>
      <c r="T70" s="16"/>
      <c r="U70" s="16"/>
      <c r="V70" s="17"/>
    </row>
    <row r="71" spans="1:22" x14ac:dyDescent="0.3">
      <c r="A71" s="9"/>
      <c r="B71" s="9"/>
      <c r="C71" s="16"/>
      <c r="D71" s="17"/>
      <c r="E71" s="16">
        <f t="shared" ca="1" si="2"/>
        <v>126</v>
      </c>
      <c r="F71" s="17"/>
      <c r="G71" s="16">
        <f t="shared" ca="1" si="3"/>
        <v>126.7</v>
      </c>
      <c r="H71" s="9"/>
      <c r="I71" s="9"/>
      <c r="J71" s="16"/>
      <c r="K71" s="9"/>
      <c r="L71" s="9"/>
      <c r="M71" s="9"/>
      <c r="N71" s="9"/>
      <c r="O71" s="9"/>
      <c r="P71" s="9"/>
      <c r="Q71" s="14"/>
      <c r="R71" s="14"/>
      <c r="S71" s="16"/>
      <c r="T71" s="16"/>
      <c r="U71" s="16"/>
      <c r="V71" s="17"/>
    </row>
    <row r="72" spans="1:22" x14ac:dyDescent="0.3">
      <c r="A72" s="9"/>
      <c r="B72" s="9"/>
      <c r="C72" s="16"/>
      <c r="D72" s="17"/>
      <c r="E72" s="16">
        <f t="shared" ca="1" si="2"/>
        <v>126</v>
      </c>
      <c r="F72" s="17"/>
      <c r="G72" s="16">
        <f t="shared" ca="1" si="3"/>
        <v>126.7</v>
      </c>
      <c r="H72" s="9"/>
      <c r="I72" s="9"/>
      <c r="J72" s="16"/>
      <c r="K72" s="9"/>
      <c r="L72" s="9"/>
      <c r="M72" s="9"/>
      <c r="N72" s="9"/>
      <c r="O72" s="9"/>
      <c r="P72" s="9"/>
      <c r="Q72" s="14"/>
      <c r="R72" s="14"/>
      <c r="S72" s="16"/>
      <c r="T72" s="16"/>
      <c r="U72" s="16"/>
      <c r="V72" s="17"/>
    </row>
    <row r="73" spans="1:22" x14ac:dyDescent="0.3">
      <c r="A73" s="9"/>
      <c r="B73" s="9"/>
      <c r="C73" s="16"/>
      <c r="D73" s="17"/>
      <c r="E73" s="16">
        <f t="shared" ca="1" si="2"/>
        <v>126</v>
      </c>
      <c r="F73" s="17"/>
      <c r="G73" s="16">
        <f t="shared" ca="1" si="3"/>
        <v>126.7</v>
      </c>
      <c r="H73" s="9"/>
      <c r="I73" s="9"/>
      <c r="J73" s="16"/>
      <c r="K73" s="9"/>
      <c r="L73" s="9"/>
      <c r="M73" s="9"/>
      <c r="N73" s="9"/>
      <c r="O73" s="9"/>
      <c r="P73" s="9"/>
      <c r="Q73" s="14"/>
      <c r="R73" s="14"/>
      <c r="S73" s="16"/>
      <c r="T73" s="16"/>
      <c r="U73" s="16"/>
      <c r="V73" s="17"/>
    </row>
    <row r="74" spans="1:22" x14ac:dyDescent="0.3">
      <c r="A74" s="9"/>
      <c r="B74" s="9"/>
      <c r="C74" s="16"/>
      <c r="D74" s="17"/>
      <c r="E74" s="16">
        <f t="shared" ref="E74:E105" ca="1" si="4">IFERROR(DATEDIF(D74,TODAY(),"Y"),"")</f>
        <v>126</v>
      </c>
      <c r="F74" s="17"/>
      <c r="G74" s="16">
        <f t="shared" ref="G74:G105" ca="1" si="5">IFERROR(ROUND(YEARFRAC(F74,TODAY()),1),"")</f>
        <v>126.7</v>
      </c>
      <c r="H74" s="9"/>
      <c r="I74" s="9"/>
      <c r="J74" s="16"/>
      <c r="K74" s="9"/>
      <c r="L74" s="9"/>
      <c r="M74" s="9"/>
      <c r="N74" s="9"/>
      <c r="O74" s="9"/>
      <c r="P74" s="9"/>
      <c r="Q74" s="14"/>
      <c r="R74" s="14"/>
      <c r="S74" s="16"/>
      <c r="T74" s="16"/>
      <c r="U74" s="16"/>
      <c r="V74" s="17"/>
    </row>
    <row r="75" spans="1:22" x14ac:dyDescent="0.3">
      <c r="A75" s="9"/>
      <c r="B75" s="9"/>
      <c r="C75" s="16"/>
      <c r="D75" s="17"/>
      <c r="E75" s="16">
        <f t="shared" ca="1" si="4"/>
        <v>126</v>
      </c>
      <c r="F75" s="17"/>
      <c r="G75" s="16">
        <f t="shared" ca="1" si="5"/>
        <v>126.7</v>
      </c>
      <c r="H75" s="9"/>
      <c r="I75" s="9"/>
      <c r="J75" s="16"/>
      <c r="K75" s="9"/>
      <c r="L75" s="9"/>
      <c r="M75" s="9"/>
      <c r="N75" s="9"/>
      <c r="O75" s="9"/>
      <c r="P75" s="9"/>
      <c r="Q75" s="14"/>
      <c r="R75" s="14"/>
      <c r="S75" s="16"/>
      <c r="T75" s="16"/>
      <c r="U75" s="16"/>
      <c r="V75" s="17"/>
    </row>
    <row r="76" spans="1:22" x14ac:dyDescent="0.3">
      <c r="A76" s="9"/>
      <c r="B76" s="9"/>
      <c r="C76" s="16"/>
      <c r="D76" s="17"/>
      <c r="E76" s="16">
        <f t="shared" ca="1" si="4"/>
        <v>126</v>
      </c>
      <c r="F76" s="17"/>
      <c r="G76" s="16">
        <f t="shared" ca="1" si="5"/>
        <v>126.7</v>
      </c>
      <c r="H76" s="9"/>
      <c r="I76" s="9"/>
      <c r="J76" s="16"/>
      <c r="K76" s="9"/>
      <c r="L76" s="9"/>
      <c r="M76" s="9"/>
      <c r="N76" s="9"/>
      <c r="O76" s="9"/>
      <c r="P76" s="9"/>
      <c r="Q76" s="14"/>
      <c r="R76" s="14"/>
      <c r="S76" s="16"/>
      <c r="T76" s="16"/>
      <c r="U76" s="16"/>
      <c r="V76" s="17"/>
    </row>
    <row r="77" spans="1:22" x14ac:dyDescent="0.3">
      <c r="A77" s="9"/>
      <c r="B77" s="9"/>
      <c r="C77" s="16"/>
      <c r="D77" s="17"/>
      <c r="E77" s="16">
        <f t="shared" ca="1" si="4"/>
        <v>126</v>
      </c>
      <c r="F77" s="17"/>
      <c r="G77" s="16">
        <f t="shared" ca="1" si="5"/>
        <v>126.7</v>
      </c>
      <c r="H77" s="9"/>
      <c r="I77" s="9"/>
      <c r="J77" s="16"/>
      <c r="K77" s="9"/>
      <c r="L77" s="9"/>
      <c r="M77" s="9"/>
      <c r="N77" s="9"/>
      <c r="O77" s="9"/>
      <c r="P77" s="9"/>
      <c r="Q77" s="14"/>
      <c r="R77" s="14"/>
      <c r="S77" s="16"/>
      <c r="T77" s="16"/>
      <c r="U77" s="16"/>
      <c r="V77" s="17"/>
    </row>
    <row r="78" spans="1:22" x14ac:dyDescent="0.3">
      <c r="A78" s="9"/>
      <c r="B78" s="9"/>
      <c r="C78" s="16"/>
      <c r="D78" s="17"/>
      <c r="E78" s="16">
        <f t="shared" ca="1" si="4"/>
        <v>126</v>
      </c>
      <c r="F78" s="17"/>
      <c r="G78" s="16">
        <f t="shared" ca="1" si="5"/>
        <v>126.7</v>
      </c>
      <c r="H78" s="9"/>
      <c r="I78" s="9"/>
      <c r="J78" s="16"/>
      <c r="K78" s="9"/>
      <c r="L78" s="9"/>
      <c r="M78" s="9"/>
      <c r="N78" s="9"/>
      <c r="O78" s="9"/>
      <c r="P78" s="9"/>
      <c r="Q78" s="14"/>
      <c r="R78" s="14"/>
      <c r="S78" s="16"/>
      <c r="T78" s="16"/>
      <c r="U78" s="16"/>
      <c r="V78" s="17"/>
    </row>
    <row r="79" spans="1:22" x14ac:dyDescent="0.3">
      <c r="A79" s="9"/>
      <c r="B79" s="9"/>
      <c r="C79" s="16"/>
      <c r="D79" s="17"/>
      <c r="E79" s="16">
        <f t="shared" ca="1" si="4"/>
        <v>126</v>
      </c>
      <c r="F79" s="17"/>
      <c r="G79" s="16">
        <f t="shared" ca="1" si="5"/>
        <v>126.7</v>
      </c>
      <c r="H79" s="9"/>
      <c r="I79" s="9"/>
      <c r="J79" s="16"/>
      <c r="K79" s="9"/>
      <c r="L79" s="9"/>
      <c r="M79" s="9"/>
      <c r="N79" s="9"/>
      <c r="O79" s="9"/>
      <c r="P79" s="9"/>
      <c r="Q79" s="14"/>
      <c r="R79" s="14"/>
      <c r="S79" s="16"/>
      <c r="T79" s="16"/>
      <c r="U79" s="16"/>
      <c r="V79" s="17"/>
    </row>
    <row r="80" spans="1:22" x14ac:dyDescent="0.3">
      <c r="A80" s="9"/>
      <c r="B80" s="9"/>
      <c r="C80" s="16"/>
      <c r="D80" s="17"/>
      <c r="E80" s="16">
        <f t="shared" ca="1" si="4"/>
        <v>126</v>
      </c>
      <c r="F80" s="17"/>
      <c r="G80" s="16">
        <f t="shared" ca="1" si="5"/>
        <v>126.7</v>
      </c>
      <c r="H80" s="9"/>
      <c r="I80" s="9"/>
      <c r="J80" s="16"/>
      <c r="K80" s="9"/>
      <c r="L80" s="9"/>
      <c r="M80" s="9"/>
      <c r="N80" s="9"/>
      <c r="O80" s="9"/>
      <c r="P80" s="9"/>
      <c r="Q80" s="14"/>
      <c r="R80" s="14"/>
      <c r="S80" s="16"/>
      <c r="T80" s="16"/>
      <c r="U80" s="16"/>
      <c r="V80" s="17"/>
    </row>
    <row r="81" spans="1:22" x14ac:dyDescent="0.3">
      <c r="A81" s="9"/>
      <c r="B81" s="9"/>
      <c r="C81" s="16"/>
      <c r="D81" s="17"/>
      <c r="E81" s="16">
        <f t="shared" ca="1" si="4"/>
        <v>126</v>
      </c>
      <c r="F81" s="17"/>
      <c r="G81" s="16">
        <f t="shared" ca="1" si="5"/>
        <v>126.7</v>
      </c>
      <c r="H81" s="9"/>
      <c r="I81" s="9"/>
      <c r="J81" s="16"/>
      <c r="K81" s="9"/>
      <c r="L81" s="9"/>
      <c r="M81" s="9"/>
      <c r="N81" s="9"/>
      <c r="O81" s="9"/>
      <c r="P81" s="9"/>
      <c r="Q81" s="14"/>
      <c r="R81" s="14"/>
      <c r="S81" s="16"/>
      <c r="T81" s="16"/>
      <c r="U81" s="16"/>
      <c r="V81" s="17"/>
    </row>
    <row r="82" spans="1:22" x14ac:dyDescent="0.3">
      <c r="A82" s="9"/>
      <c r="B82" s="9"/>
      <c r="C82" s="16"/>
      <c r="D82" s="17"/>
      <c r="E82" s="16">
        <f t="shared" ca="1" si="4"/>
        <v>126</v>
      </c>
      <c r="F82" s="17"/>
      <c r="G82" s="16">
        <f t="shared" ca="1" si="5"/>
        <v>126.7</v>
      </c>
      <c r="H82" s="9"/>
      <c r="I82" s="9"/>
      <c r="J82" s="16"/>
      <c r="K82" s="9"/>
      <c r="L82" s="9"/>
      <c r="M82" s="9"/>
      <c r="N82" s="9"/>
      <c r="O82" s="9"/>
      <c r="P82" s="9"/>
      <c r="Q82" s="14"/>
      <c r="R82" s="14"/>
      <c r="S82" s="16"/>
      <c r="T82" s="16"/>
      <c r="U82" s="16"/>
      <c r="V82" s="17"/>
    </row>
    <row r="83" spans="1:22" x14ac:dyDescent="0.3">
      <c r="A83" s="9"/>
      <c r="B83" s="9"/>
      <c r="C83" s="16"/>
      <c r="D83" s="17"/>
      <c r="E83" s="16">
        <f t="shared" ca="1" si="4"/>
        <v>126</v>
      </c>
      <c r="F83" s="17"/>
      <c r="G83" s="16">
        <f t="shared" ca="1" si="5"/>
        <v>126.7</v>
      </c>
      <c r="H83" s="9"/>
      <c r="I83" s="9"/>
      <c r="J83" s="16"/>
      <c r="K83" s="9"/>
      <c r="L83" s="9"/>
      <c r="M83" s="9"/>
      <c r="N83" s="9"/>
      <c r="O83" s="9"/>
      <c r="P83" s="9"/>
      <c r="Q83" s="14"/>
      <c r="R83" s="14"/>
      <c r="S83" s="16"/>
      <c r="T83" s="16"/>
      <c r="U83" s="16"/>
      <c r="V83" s="17"/>
    </row>
    <row r="84" spans="1:22" x14ac:dyDescent="0.3">
      <c r="A84" s="9"/>
      <c r="B84" s="9"/>
      <c r="C84" s="16"/>
      <c r="D84" s="17"/>
      <c r="E84" s="16">
        <f t="shared" ca="1" si="4"/>
        <v>126</v>
      </c>
      <c r="F84" s="17"/>
      <c r="G84" s="16">
        <f t="shared" ca="1" si="5"/>
        <v>126.7</v>
      </c>
      <c r="H84" s="9"/>
      <c r="I84" s="9"/>
      <c r="J84" s="16"/>
      <c r="K84" s="9"/>
      <c r="L84" s="9"/>
      <c r="M84" s="9"/>
      <c r="N84" s="9"/>
      <c r="O84" s="9"/>
      <c r="P84" s="9"/>
      <c r="Q84" s="14"/>
      <c r="R84" s="14"/>
      <c r="S84" s="16"/>
      <c r="T84" s="16"/>
      <c r="U84" s="16"/>
      <c r="V84" s="17"/>
    </row>
    <row r="85" spans="1:22" x14ac:dyDescent="0.3">
      <c r="A85" s="9"/>
      <c r="B85" s="9"/>
      <c r="C85" s="16"/>
      <c r="D85" s="17"/>
      <c r="E85" s="16">
        <f t="shared" ca="1" si="4"/>
        <v>126</v>
      </c>
      <c r="F85" s="17"/>
      <c r="G85" s="16">
        <f t="shared" ca="1" si="5"/>
        <v>126.7</v>
      </c>
      <c r="H85" s="9"/>
      <c r="I85" s="9"/>
      <c r="J85" s="16"/>
      <c r="K85" s="9"/>
      <c r="L85" s="9"/>
      <c r="M85" s="9"/>
      <c r="N85" s="9"/>
      <c r="O85" s="9"/>
      <c r="P85" s="9"/>
      <c r="Q85" s="14"/>
      <c r="R85" s="14"/>
      <c r="S85" s="16"/>
      <c r="T85" s="16"/>
      <c r="U85" s="16"/>
      <c r="V85" s="17"/>
    </row>
    <row r="86" spans="1:22" x14ac:dyDescent="0.3">
      <c r="A86" s="9"/>
      <c r="B86" s="9"/>
      <c r="C86" s="16"/>
      <c r="D86" s="17"/>
      <c r="E86" s="16">
        <f t="shared" ca="1" si="4"/>
        <v>126</v>
      </c>
      <c r="F86" s="17"/>
      <c r="G86" s="16">
        <f t="shared" ca="1" si="5"/>
        <v>126.7</v>
      </c>
      <c r="H86" s="9"/>
      <c r="I86" s="9"/>
      <c r="J86" s="16"/>
      <c r="K86" s="9"/>
      <c r="L86" s="9"/>
      <c r="M86" s="9"/>
      <c r="N86" s="9"/>
      <c r="O86" s="9"/>
      <c r="P86" s="9"/>
      <c r="Q86" s="14"/>
      <c r="R86" s="14"/>
      <c r="S86" s="16"/>
      <c r="T86" s="16"/>
      <c r="U86" s="16"/>
      <c r="V86" s="17"/>
    </row>
    <row r="87" spans="1:22" x14ac:dyDescent="0.3">
      <c r="A87" s="9"/>
      <c r="B87" s="9"/>
      <c r="C87" s="16"/>
      <c r="D87" s="17"/>
      <c r="E87" s="16">
        <f t="shared" ca="1" si="4"/>
        <v>126</v>
      </c>
      <c r="F87" s="17"/>
      <c r="G87" s="16">
        <f t="shared" ca="1" si="5"/>
        <v>126.7</v>
      </c>
      <c r="H87" s="9"/>
      <c r="I87" s="9"/>
      <c r="J87" s="16"/>
      <c r="K87" s="9"/>
      <c r="L87" s="9"/>
      <c r="M87" s="9"/>
      <c r="N87" s="9"/>
      <c r="O87" s="9"/>
      <c r="P87" s="9"/>
      <c r="Q87" s="14"/>
      <c r="R87" s="14"/>
      <c r="S87" s="16"/>
      <c r="T87" s="16"/>
      <c r="U87" s="16"/>
      <c r="V87" s="17"/>
    </row>
    <row r="88" spans="1:22" x14ac:dyDescent="0.3">
      <c r="A88" s="9"/>
      <c r="B88" s="9"/>
      <c r="C88" s="16"/>
      <c r="D88" s="17"/>
      <c r="E88" s="16">
        <f t="shared" ca="1" si="4"/>
        <v>126</v>
      </c>
      <c r="F88" s="17"/>
      <c r="G88" s="16">
        <f t="shared" ca="1" si="5"/>
        <v>126.7</v>
      </c>
      <c r="H88" s="9"/>
      <c r="I88" s="9"/>
      <c r="J88" s="16"/>
      <c r="K88" s="9"/>
      <c r="L88" s="9"/>
      <c r="M88" s="9"/>
      <c r="N88" s="9"/>
      <c r="O88" s="9"/>
      <c r="P88" s="9"/>
      <c r="Q88" s="14"/>
      <c r="R88" s="14"/>
      <c r="S88" s="16"/>
      <c r="T88" s="16"/>
      <c r="U88" s="16"/>
      <c r="V88" s="17"/>
    </row>
    <row r="89" spans="1:22" x14ac:dyDescent="0.3">
      <c r="A89" s="9"/>
      <c r="B89" s="9"/>
      <c r="C89" s="16"/>
      <c r="D89" s="17"/>
      <c r="E89" s="16">
        <f t="shared" ca="1" si="4"/>
        <v>126</v>
      </c>
      <c r="F89" s="17"/>
      <c r="G89" s="16">
        <f t="shared" ca="1" si="5"/>
        <v>126.7</v>
      </c>
      <c r="H89" s="9"/>
      <c r="I89" s="9"/>
      <c r="J89" s="16"/>
      <c r="K89" s="9"/>
      <c r="L89" s="9"/>
      <c r="M89" s="9"/>
      <c r="N89" s="9"/>
      <c r="O89" s="9"/>
      <c r="P89" s="9"/>
      <c r="Q89" s="14"/>
      <c r="R89" s="14"/>
      <c r="S89" s="16"/>
      <c r="T89" s="16"/>
      <c r="U89" s="16"/>
      <c r="V89" s="17"/>
    </row>
    <row r="90" spans="1:22" x14ac:dyDescent="0.3">
      <c r="A90" s="9"/>
      <c r="B90" s="9"/>
      <c r="C90" s="16"/>
      <c r="D90" s="17"/>
      <c r="E90" s="16">
        <f t="shared" ca="1" si="4"/>
        <v>126</v>
      </c>
      <c r="F90" s="17"/>
      <c r="G90" s="16">
        <f t="shared" ca="1" si="5"/>
        <v>126.7</v>
      </c>
      <c r="H90" s="9"/>
      <c r="I90" s="9"/>
      <c r="J90" s="16"/>
      <c r="K90" s="9"/>
      <c r="L90" s="9"/>
      <c r="M90" s="9"/>
      <c r="N90" s="9"/>
      <c r="O90" s="9"/>
      <c r="P90" s="9"/>
      <c r="Q90" s="14"/>
      <c r="R90" s="14"/>
      <c r="S90" s="16"/>
      <c r="T90" s="16"/>
      <c r="U90" s="16"/>
      <c r="V90" s="17"/>
    </row>
    <row r="91" spans="1:22" x14ac:dyDescent="0.3">
      <c r="A91" s="9"/>
      <c r="B91" s="9"/>
      <c r="C91" s="16"/>
      <c r="D91" s="17"/>
      <c r="E91" s="16">
        <f t="shared" ca="1" si="4"/>
        <v>126</v>
      </c>
      <c r="F91" s="17"/>
      <c r="G91" s="16">
        <f t="shared" ca="1" si="5"/>
        <v>126.7</v>
      </c>
      <c r="H91" s="9"/>
      <c r="I91" s="9"/>
      <c r="J91" s="16"/>
      <c r="K91" s="9"/>
      <c r="L91" s="9"/>
      <c r="M91" s="9"/>
      <c r="N91" s="9"/>
      <c r="O91" s="9"/>
      <c r="P91" s="9"/>
      <c r="Q91" s="14"/>
      <c r="R91" s="14"/>
      <c r="S91" s="16"/>
      <c r="T91" s="16"/>
      <c r="U91" s="16"/>
      <c r="V91" s="17"/>
    </row>
    <row r="92" spans="1:22" x14ac:dyDescent="0.3">
      <c r="A92" s="9"/>
      <c r="B92" s="9"/>
      <c r="C92" s="16"/>
      <c r="D92" s="17"/>
      <c r="E92" s="16">
        <f t="shared" ca="1" si="4"/>
        <v>126</v>
      </c>
      <c r="F92" s="17"/>
      <c r="G92" s="16">
        <f t="shared" ca="1" si="5"/>
        <v>126.7</v>
      </c>
      <c r="H92" s="9"/>
      <c r="I92" s="9"/>
      <c r="J92" s="16"/>
      <c r="K92" s="9"/>
      <c r="L92" s="9"/>
      <c r="M92" s="9"/>
      <c r="N92" s="9"/>
      <c r="O92" s="9"/>
      <c r="P92" s="9"/>
      <c r="Q92" s="14"/>
      <c r="R92" s="14"/>
      <c r="S92" s="16"/>
      <c r="T92" s="16"/>
      <c r="U92" s="16"/>
      <c r="V92" s="17"/>
    </row>
    <row r="93" spans="1:22" x14ac:dyDescent="0.3">
      <c r="A93" s="9"/>
      <c r="B93" s="9"/>
      <c r="C93" s="16"/>
      <c r="D93" s="17"/>
      <c r="E93" s="16">
        <f t="shared" ca="1" si="4"/>
        <v>126</v>
      </c>
      <c r="F93" s="17"/>
      <c r="G93" s="16">
        <f t="shared" ca="1" si="5"/>
        <v>126.7</v>
      </c>
      <c r="H93" s="9"/>
      <c r="I93" s="9"/>
      <c r="J93" s="16"/>
      <c r="K93" s="9"/>
      <c r="L93" s="9"/>
      <c r="M93" s="9"/>
      <c r="N93" s="9"/>
      <c r="O93" s="9"/>
      <c r="P93" s="9"/>
      <c r="Q93" s="14"/>
      <c r="R93" s="14"/>
      <c r="S93" s="16"/>
      <c r="T93" s="16"/>
      <c r="U93" s="16"/>
      <c r="V93" s="17"/>
    </row>
    <row r="94" spans="1:22" x14ac:dyDescent="0.3">
      <c r="A94" s="9"/>
      <c r="B94" s="9"/>
      <c r="C94" s="16"/>
      <c r="D94" s="17"/>
      <c r="E94" s="16">
        <f t="shared" ca="1" si="4"/>
        <v>126</v>
      </c>
      <c r="F94" s="17"/>
      <c r="G94" s="16">
        <f t="shared" ca="1" si="5"/>
        <v>126.7</v>
      </c>
      <c r="H94" s="9"/>
      <c r="I94" s="9"/>
      <c r="J94" s="16"/>
      <c r="K94" s="9"/>
      <c r="L94" s="9"/>
      <c r="M94" s="9"/>
      <c r="N94" s="9"/>
      <c r="O94" s="9"/>
      <c r="P94" s="9"/>
      <c r="Q94" s="14"/>
      <c r="R94" s="14"/>
      <c r="S94" s="16"/>
      <c r="T94" s="16"/>
      <c r="U94" s="16"/>
      <c r="V94" s="17"/>
    </row>
    <row r="95" spans="1:22" x14ac:dyDescent="0.3">
      <c r="A95" s="9"/>
      <c r="B95" s="9"/>
      <c r="C95" s="16"/>
      <c r="D95" s="17"/>
      <c r="E95" s="16">
        <f t="shared" ca="1" si="4"/>
        <v>126</v>
      </c>
      <c r="F95" s="17"/>
      <c r="G95" s="16">
        <f t="shared" ca="1" si="5"/>
        <v>126.7</v>
      </c>
      <c r="H95" s="9"/>
      <c r="I95" s="9"/>
      <c r="J95" s="16"/>
      <c r="K95" s="9"/>
      <c r="L95" s="9"/>
      <c r="M95" s="9"/>
      <c r="N95" s="9"/>
      <c r="O95" s="9"/>
      <c r="P95" s="9"/>
      <c r="Q95" s="14"/>
      <c r="R95" s="14"/>
      <c r="S95" s="16"/>
      <c r="T95" s="16"/>
      <c r="U95" s="16"/>
      <c r="V95" s="17"/>
    </row>
    <row r="96" spans="1:22" x14ac:dyDescent="0.3">
      <c r="A96" s="9"/>
      <c r="B96" s="9"/>
      <c r="C96" s="16"/>
      <c r="D96" s="17"/>
      <c r="E96" s="16">
        <f t="shared" ca="1" si="4"/>
        <v>126</v>
      </c>
      <c r="F96" s="17"/>
      <c r="G96" s="16">
        <f t="shared" ca="1" si="5"/>
        <v>126.7</v>
      </c>
      <c r="H96" s="9"/>
      <c r="I96" s="9"/>
      <c r="J96" s="16"/>
      <c r="K96" s="9"/>
      <c r="L96" s="9"/>
      <c r="M96" s="9"/>
      <c r="N96" s="9"/>
      <c r="O96" s="9"/>
      <c r="P96" s="9"/>
      <c r="Q96" s="14"/>
      <c r="R96" s="14"/>
      <c r="S96" s="16"/>
      <c r="T96" s="16"/>
      <c r="U96" s="16"/>
      <c r="V96" s="17"/>
    </row>
    <row r="97" spans="1:22" x14ac:dyDescent="0.3">
      <c r="A97" s="9"/>
      <c r="B97" s="9"/>
      <c r="C97" s="16"/>
      <c r="D97" s="17"/>
      <c r="E97" s="16">
        <f t="shared" ca="1" si="4"/>
        <v>126</v>
      </c>
      <c r="F97" s="17"/>
      <c r="G97" s="16">
        <f t="shared" ca="1" si="5"/>
        <v>126.7</v>
      </c>
      <c r="H97" s="9"/>
      <c r="I97" s="9"/>
      <c r="J97" s="16"/>
      <c r="K97" s="9"/>
      <c r="L97" s="9"/>
      <c r="M97" s="9"/>
      <c r="N97" s="9"/>
      <c r="O97" s="9"/>
      <c r="P97" s="9"/>
      <c r="Q97" s="14"/>
      <c r="R97" s="14"/>
      <c r="S97" s="16"/>
      <c r="T97" s="16"/>
      <c r="U97" s="16"/>
      <c r="V97" s="17"/>
    </row>
    <row r="98" spans="1:22" x14ac:dyDescent="0.3">
      <c r="A98" s="9"/>
      <c r="B98" s="9"/>
      <c r="C98" s="16"/>
      <c r="D98" s="17"/>
      <c r="E98" s="16">
        <f t="shared" ca="1" si="4"/>
        <v>126</v>
      </c>
      <c r="F98" s="17"/>
      <c r="G98" s="16">
        <f t="shared" ca="1" si="5"/>
        <v>126.7</v>
      </c>
      <c r="H98" s="9"/>
      <c r="I98" s="9"/>
      <c r="J98" s="16"/>
      <c r="K98" s="9"/>
      <c r="L98" s="9"/>
      <c r="M98" s="9"/>
      <c r="N98" s="9"/>
      <c r="O98" s="9"/>
      <c r="P98" s="9"/>
      <c r="Q98" s="14"/>
      <c r="R98" s="14"/>
      <c r="S98" s="16"/>
      <c r="T98" s="16"/>
      <c r="U98" s="16"/>
      <c r="V98" s="17"/>
    </row>
    <row r="99" spans="1:22" x14ac:dyDescent="0.3">
      <c r="A99" s="9"/>
      <c r="B99" s="9"/>
      <c r="C99" s="16"/>
      <c r="D99" s="17"/>
      <c r="E99" s="16">
        <f t="shared" ca="1" si="4"/>
        <v>126</v>
      </c>
      <c r="F99" s="17"/>
      <c r="G99" s="16">
        <f t="shared" ca="1" si="5"/>
        <v>126.7</v>
      </c>
      <c r="H99" s="9"/>
      <c r="I99" s="9"/>
      <c r="J99" s="16"/>
      <c r="K99" s="9"/>
      <c r="L99" s="9"/>
      <c r="M99" s="9"/>
      <c r="N99" s="9"/>
      <c r="O99" s="9"/>
      <c r="P99" s="9"/>
      <c r="Q99" s="14"/>
      <c r="R99" s="14"/>
      <c r="S99" s="16"/>
      <c r="T99" s="16"/>
      <c r="U99" s="16"/>
      <c r="V99" s="17"/>
    </row>
    <row r="100" spans="1:22" x14ac:dyDescent="0.3">
      <c r="A100" s="9"/>
      <c r="B100" s="9"/>
      <c r="C100" s="16"/>
      <c r="D100" s="17"/>
      <c r="E100" s="16">
        <f t="shared" ca="1" si="4"/>
        <v>126</v>
      </c>
      <c r="F100" s="17"/>
      <c r="G100" s="16">
        <f t="shared" ca="1" si="5"/>
        <v>126.7</v>
      </c>
      <c r="H100" s="9"/>
      <c r="I100" s="9"/>
      <c r="J100" s="16"/>
      <c r="K100" s="9"/>
      <c r="L100" s="9"/>
      <c r="M100" s="9"/>
      <c r="N100" s="9"/>
      <c r="O100" s="9"/>
      <c r="P100" s="9"/>
      <c r="Q100" s="14"/>
      <c r="R100" s="14"/>
      <c r="S100" s="16"/>
      <c r="T100" s="16"/>
      <c r="U100" s="16"/>
      <c r="V100" s="17"/>
    </row>
    <row r="101" spans="1:22" x14ac:dyDescent="0.3">
      <c r="A101" s="9"/>
      <c r="B101" s="9"/>
      <c r="C101" s="16"/>
      <c r="D101" s="17"/>
      <c r="E101" s="16">
        <f t="shared" ca="1" si="4"/>
        <v>126</v>
      </c>
      <c r="F101" s="17"/>
      <c r="G101" s="16">
        <f t="shared" ca="1" si="5"/>
        <v>126.7</v>
      </c>
      <c r="H101" s="9"/>
      <c r="I101" s="9"/>
      <c r="J101" s="16"/>
      <c r="K101" s="9"/>
      <c r="L101" s="9"/>
      <c r="M101" s="9"/>
      <c r="N101" s="9"/>
      <c r="O101" s="9"/>
      <c r="P101" s="9"/>
      <c r="Q101" s="14"/>
      <c r="R101" s="14"/>
      <c r="S101" s="16"/>
      <c r="T101" s="16"/>
      <c r="U101" s="16"/>
      <c r="V101" s="17"/>
    </row>
    <row r="102" spans="1:22" x14ac:dyDescent="0.3">
      <c r="A102" s="9"/>
      <c r="B102" s="9"/>
      <c r="C102" s="16"/>
      <c r="D102" s="17"/>
      <c r="E102" s="16">
        <f t="shared" ca="1" si="4"/>
        <v>126</v>
      </c>
      <c r="F102" s="17"/>
      <c r="G102" s="16">
        <f t="shared" ca="1" si="5"/>
        <v>126.7</v>
      </c>
      <c r="H102" s="9"/>
      <c r="I102" s="9"/>
      <c r="J102" s="16"/>
      <c r="K102" s="9"/>
      <c r="L102" s="9"/>
      <c r="M102" s="9"/>
      <c r="N102" s="9"/>
      <c r="O102" s="9"/>
      <c r="P102" s="9"/>
      <c r="Q102" s="14"/>
      <c r="R102" s="14"/>
      <c r="S102" s="16"/>
      <c r="T102" s="16"/>
      <c r="U102" s="16"/>
      <c r="V102" s="17"/>
    </row>
    <row r="103" spans="1:22" x14ac:dyDescent="0.3">
      <c r="A103" s="9"/>
      <c r="B103" s="9"/>
      <c r="C103" s="16"/>
      <c r="D103" s="17"/>
      <c r="E103" s="16">
        <f t="shared" ca="1" si="4"/>
        <v>126</v>
      </c>
      <c r="F103" s="17"/>
      <c r="G103" s="16">
        <f t="shared" ca="1" si="5"/>
        <v>126.7</v>
      </c>
      <c r="H103" s="9"/>
      <c r="I103" s="9"/>
      <c r="J103" s="16"/>
      <c r="K103" s="9"/>
      <c r="L103" s="9"/>
      <c r="M103" s="9"/>
      <c r="N103" s="9"/>
      <c r="O103" s="9"/>
      <c r="P103" s="9"/>
      <c r="Q103" s="14"/>
      <c r="R103" s="14"/>
      <c r="S103" s="16"/>
      <c r="T103" s="16"/>
      <c r="U103" s="16"/>
      <c r="V103" s="17"/>
    </row>
    <row r="104" spans="1:22" x14ac:dyDescent="0.3">
      <c r="A104" s="9"/>
      <c r="B104" s="9"/>
      <c r="C104" s="16"/>
      <c r="D104" s="17"/>
      <c r="E104" s="16">
        <f t="shared" ca="1" si="4"/>
        <v>126</v>
      </c>
      <c r="F104" s="17"/>
      <c r="G104" s="16">
        <f t="shared" ca="1" si="5"/>
        <v>126.7</v>
      </c>
      <c r="H104" s="9"/>
      <c r="I104" s="9"/>
      <c r="J104" s="16"/>
      <c r="K104" s="9"/>
      <c r="L104" s="9"/>
      <c r="M104" s="9"/>
      <c r="N104" s="9"/>
      <c r="O104" s="9"/>
      <c r="P104" s="9"/>
      <c r="Q104" s="14"/>
      <c r="R104" s="14"/>
      <c r="S104" s="16"/>
      <c r="T104" s="16"/>
      <c r="U104" s="16"/>
      <c r="V104" s="17"/>
    </row>
    <row r="105" spans="1:22" x14ac:dyDescent="0.3">
      <c r="A105" s="9"/>
      <c r="B105" s="9"/>
      <c r="C105" s="16"/>
      <c r="D105" s="17"/>
      <c r="E105" s="16">
        <f t="shared" ca="1" si="4"/>
        <v>126</v>
      </c>
      <c r="F105" s="17"/>
      <c r="G105" s="16">
        <f t="shared" ca="1" si="5"/>
        <v>126.7</v>
      </c>
      <c r="H105" s="9"/>
      <c r="I105" s="9"/>
      <c r="J105" s="16"/>
      <c r="K105" s="9"/>
      <c r="L105" s="9"/>
      <c r="M105" s="9"/>
      <c r="N105" s="9"/>
      <c r="O105" s="9"/>
      <c r="P105" s="9"/>
      <c r="Q105" s="14"/>
      <c r="R105" s="14"/>
      <c r="S105" s="16"/>
      <c r="T105" s="16"/>
      <c r="U105" s="16"/>
      <c r="V105" s="17"/>
    </row>
    <row r="106" spans="1:22" x14ac:dyDescent="0.3">
      <c r="A106" s="9"/>
      <c r="B106" s="9"/>
      <c r="C106" s="16"/>
      <c r="D106" s="17"/>
      <c r="E106" s="16">
        <f t="shared" ref="E106:E109" ca="1" si="6">IFERROR(DATEDIF(D106,TODAY(),"Y"),"")</f>
        <v>126</v>
      </c>
      <c r="F106" s="17"/>
      <c r="G106" s="16">
        <f t="shared" ref="G106:G109" ca="1" si="7">IFERROR(ROUND(YEARFRAC(F106,TODAY()),1),"")</f>
        <v>126.7</v>
      </c>
      <c r="H106" s="9"/>
      <c r="I106" s="9"/>
      <c r="J106" s="16"/>
      <c r="K106" s="9"/>
      <c r="L106" s="9"/>
      <c r="M106" s="9"/>
      <c r="N106" s="9"/>
      <c r="O106" s="9"/>
      <c r="P106" s="9"/>
      <c r="Q106" s="14"/>
      <c r="R106" s="14"/>
      <c r="S106" s="16"/>
      <c r="T106" s="16"/>
      <c r="U106" s="16"/>
      <c r="V106" s="17"/>
    </row>
    <row r="107" spans="1:22" x14ac:dyDescent="0.3">
      <c r="A107" s="9"/>
      <c r="B107" s="9"/>
      <c r="C107" s="16"/>
      <c r="D107" s="17"/>
      <c r="E107" s="16">
        <f t="shared" ca="1" si="6"/>
        <v>126</v>
      </c>
      <c r="F107" s="17"/>
      <c r="G107" s="16">
        <f t="shared" ca="1" si="7"/>
        <v>126.7</v>
      </c>
      <c r="H107" s="9"/>
      <c r="I107" s="9"/>
      <c r="J107" s="16"/>
      <c r="K107" s="9"/>
      <c r="L107" s="9"/>
      <c r="M107" s="9"/>
      <c r="N107" s="9"/>
      <c r="O107" s="9"/>
      <c r="P107" s="9"/>
      <c r="Q107" s="14"/>
      <c r="R107" s="14"/>
      <c r="S107" s="16"/>
      <c r="T107" s="16"/>
      <c r="U107" s="16"/>
      <c r="V107" s="17"/>
    </row>
    <row r="108" spans="1:22" x14ac:dyDescent="0.3">
      <c r="A108" s="9"/>
      <c r="B108" s="9"/>
      <c r="C108" s="16"/>
      <c r="D108" s="17"/>
      <c r="E108" s="16">
        <f t="shared" ca="1" si="6"/>
        <v>126</v>
      </c>
      <c r="F108" s="17"/>
      <c r="G108" s="16">
        <f t="shared" ca="1" si="7"/>
        <v>126.7</v>
      </c>
      <c r="H108" s="9"/>
      <c r="I108" s="9"/>
      <c r="J108" s="16"/>
      <c r="K108" s="9"/>
      <c r="L108" s="9"/>
      <c r="M108" s="9"/>
      <c r="N108" s="9"/>
      <c r="O108" s="9"/>
      <c r="P108" s="9"/>
      <c r="Q108" s="14"/>
      <c r="R108" s="14"/>
      <c r="S108" s="16"/>
      <c r="T108" s="16"/>
      <c r="U108" s="16"/>
      <c r="V108" s="17"/>
    </row>
    <row r="109" spans="1:22" x14ac:dyDescent="0.3">
      <c r="A109" s="9"/>
      <c r="B109" s="9"/>
      <c r="C109" s="16"/>
      <c r="D109" s="17"/>
      <c r="E109" s="16">
        <f t="shared" ca="1" si="6"/>
        <v>126</v>
      </c>
      <c r="F109" s="17"/>
      <c r="G109" s="16">
        <f t="shared" ca="1" si="7"/>
        <v>126.7</v>
      </c>
      <c r="H109" s="9"/>
      <c r="I109" s="9"/>
      <c r="J109" s="16"/>
      <c r="K109" s="9"/>
      <c r="L109" s="9"/>
      <c r="M109" s="9"/>
      <c r="N109" s="9"/>
      <c r="O109" s="9"/>
      <c r="P109" s="9"/>
      <c r="Q109" s="14"/>
      <c r="R109" s="14"/>
      <c r="S109" s="16"/>
      <c r="T109" s="16"/>
      <c r="U109" s="16"/>
      <c r="V109" s="17"/>
    </row>
  </sheetData>
  <mergeCells count="14">
    <mergeCell ref="B6:D6"/>
    <mergeCell ref="F6:H6"/>
    <mergeCell ref="J6:L6"/>
    <mergeCell ref="N6:P6"/>
    <mergeCell ref="B7:D7"/>
    <mergeCell ref="F7:H7"/>
    <mergeCell ref="J7:L7"/>
    <mergeCell ref="N7:P7"/>
    <mergeCell ref="A1:V1"/>
    <mergeCell ref="A2:V2"/>
    <mergeCell ref="B5:D5"/>
    <mergeCell ref="F5:H5"/>
    <mergeCell ref="J5:L5"/>
    <mergeCell ref="N5:P5"/>
  </mergeCells>
  <phoneticPr fontId="32" type="noConversion"/>
  <conditionalFormatting sqref="A10:V109">
    <cfRule type="expression" dxfId="37" priority="2">
      <formula>MOD(ROW(),2)=0</formula>
    </cfRule>
  </conditionalFormatting>
  <conditionalFormatting sqref="U10:U109">
    <cfRule type="cellIs" dxfId="36" priority="3" operator="equal">
      <formula>"Active"</formula>
    </cfRule>
    <cfRule type="cellIs" dxfId="35" priority="4" operator="equal">
      <formula>"Notice Period"</formula>
    </cfRule>
    <cfRule type="expression" dxfId="34" priority="5">
      <formula>OR(U10="Resigned",U10="Terminated")</formula>
    </cfRule>
  </conditionalFormatting>
  <dataValidations count="2">
    <dataValidation type="list" allowBlank="1" sqref="H10:H109" xr:uid="{00000000-0002-0000-0200-000000000000}">
      <formula1>$H$10:$H$19</formula1>
    </dataValidation>
    <dataValidation type="list" allowBlank="1" sqref="I10:I109" xr:uid="{00000000-0002-0000-0200-000001000000}">
      <formula1>$I$11:$I$19</formula1>
    </dataValidation>
  </dataValidations>
  <hyperlinks>
    <hyperlink ref="A3" location="'HR Command Center'!A1" display=" HOME " xr:uid="{00000000-0004-0000-0200-000000000000}"/>
    <hyperlink ref="C3" location="'Attendance'!A1" display=" ATTEND. " xr:uid="{00000000-0004-0000-0200-000001000000}"/>
    <hyperlink ref="D3" location="'Leave Tracker'!A1" display=" LEAVE " xr:uid="{00000000-0004-0000-0200-000002000000}"/>
    <hyperlink ref="E3" location="'Payroll'!A1" display=" PAYROLL " xr:uid="{00000000-0004-0000-0200-000003000000}"/>
    <hyperlink ref="F3" location="'Document Tracker'!A1" display=" DOCS " xr:uid="{00000000-0004-0000-0200-000004000000}"/>
    <hyperlink ref="G3" location="'Compliance Center'!A1" display=" COMPLY " xr:uid="{00000000-0004-0000-0200-000005000000}"/>
    <hyperlink ref="H3" location="'Analytics &amp; Reports'!A1" display=" ANALYTICS " xr:uid="{00000000-0004-0000-0200-000006000000}"/>
    <hyperlink ref="I3" location="'Management Dashboard'!A1" display=" MGMT " xr:uid="{00000000-0004-0000-0200-000007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2000000}">
          <x14:formula1>
            <xm:f>Lists!$C$10:$C$14</xm:f>
          </x14:formula1>
          <x14:formula2>
            <xm:f>0</xm:f>
          </x14:formula2>
          <xm:sqref>J10:J109</xm:sqref>
        </x14:dataValidation>
        <x14:dataValidation type="list" allowBlank="1" xr:uid="{00000000-0002-0000-0200-000003000000}">
          <x14:formula1>
            <xm:f>Lists!$H$10:$H$11</xm:f>
          </x14:formula1>
          <x14:formula2>
            <xm:f>0</xm:f>
          </x14:formula2>
          <xm:sqref>S10:T109</xm:sqref>
        </x14:dataValidation>
        <x14:dataValidation type="list" allowBlank="1" xr:uid="{00000000-0002-0000-0200-000005000000}">
          <x14:formula1>
            <xm:f>Lists!$D$10:$D$13</xm:f>
          </x14:formula1>
          <x14:formula2>
            <xm:f>0</xm:f>
          </x14:formula2>
          <xm:sqref>U10:U109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509"/>
  <sheetViews>
    <sheetView showGridLines="0"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B10" sqref="B10"/>
    </sheetView>
  </sheetViews>
  <sheetFormatPr defaultColWidth="8.6640625" defaultRowHeight="14.4" x14ac:dyDescent="0.3"/>
  <cols>
    <col min="1" max="1" width="11" customWidth="1"/>
    <col min="2" max="2" width="12" customWidth="1"/>
    <col min="3" max="3" width="20" customWidth="1"/>
    <col min="4" max="4" width="18" customWidth="1"/>
    <col min="5" max="7" width="10" customWidth="1"/>
    <col min="8" max="8" width="9" customWidth="1"/>
    <col min="9" max="9" width="18" customWidth="1"/>
    <col min="10" max="10" width="11" customWidth="1"/>
    <col min="11" max="11" width="8" customWidth="1"/>
    <col min="12" max="12" width="10" customWidth="1"/>
    <col min="13" max="13" width="16" customWidth="1"/>
  </cols>
  <sheetData>
    <row r="1" spans="1:45" ht="33.75" customHeight="1" x14ac:dyDescent="0.3">
      <c r="A1" s="26" t="s">
        <v>178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1:45" ht="15.75" customHeight="1" x14ac:dyDescent="0.3">
      <c r="A2" s="27" t="s">
        <v>179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1:45" ht="19.5" customHeight="1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3"/>
      <c r="K3" s="3"/>
      <c r="L3" s="3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ht="13.5" customHeight="1" x14ac:dyDescent="0.3">
      <c r="A5" s="4"/>
      <c r="B5" s="69" t="s">
        <v>18</v>
      </c>
      <c r="C5" s="70"/>
      <c r="D5" s="4"/>
      <c r="E5" s="29" t="s">
        <v>20</v>
      </c>
      <c r="F5" s="29"/>
      <c r="G5" s="29"/>
      <c r="H5" s="4"/>
      <c r="I5" s="71" t="s">
        <v>21</v>
      </c>
      <c r="J5" s="72"/>
      <c r="K5" s="4"/>
      <c r="L5" s="73" t="s">
        <v>180</v>
      </c>
      <c r="M5" s="7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ht="25.5" customHeight="1" x14ac:dyDescent="0.3">
      <c r="A6" s="4"/>
      <c r="B6" s="75">
        <f>IFERROR(COUNTIF($E$10:$E$509,"P")/COUNTIFS($E$10:$E$509,"&lt;&gt;"),"")</f>
        <v>0.86928104575163401</v>
      </c>
      <c r="C6" s="76"/>
      <c r="D6" s="4"/>
      <c r="E6" s="32">
        <f>COUNTIFS($A$10:$A$509,MAX($A$10:$A$509),$E$10:$E$509,"P")</f>
        <v>33</v>
      </c>
      <c r="F6" s="32"/>
      <c r="G6" s="32"/>
      <c r="H6" s="4"/>
      <c r="I6" s="65">
        <f>COUNTIFS($A$10:$A$509,MAX($A$10:$A$509),$E$10:$E$509,"A")</f>
        <v>0</v>
      </c>
      <c r="J6" s="66"/>
      <c r="K6" s="4"/>
      <c r="L6" s="65">
        <f>COUNTIFS($A$10:$A$509,MAX($A$10:$A$509),$K$10:$K$509,"Late")</f>
        <v>0</v>
      </c>
      <c r="M6" s="66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ht="13.5" customHeight="1" x14ac:dyDescent="0.3">
      <c r="A7" s="4"/>
      <c r="B7" s="77" t="str">
        <f>"of all logged days"</f>
        <v>of all logged days</v>
      </c>
      <c r="C7" s="78"/>
      <c r="D7" s="4"/>
      <c r="E7" s="34" t="str">
        <f>"on "&amp;TEXT(MAX($A$10:$A$509),"dd-mmm")</f>
        <v>on 26-Aug</v>
      </c>
      <c r="F7" s="34"/>
      <c r="G7" s="34"/>
      <c r="H7" s="4"/>
      <c r="I7" s="79" t="str">
        <f>"on "&amp;TEXT(MAX($A$10:$A$509),"dd-mmm")</f>
        <v>on 26-Aug</v>
      </c>
      <c r="J7" s="80"/>
      <c r="K7" s="4"/>
      <c r="L7" s="67" t="str">
        <f>"in vs. standard shift time"</f>
        <v>in vs. standard shift time</v>
      </c>
      <c r="M7" s="68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spans="1:45" ht="30" customHeight="1" x14ac:dyDescent="0.3">
      <c r="A9" s="15" t="s">
        <v>181</v>
      </c>
      <c r="B9" s="15" t="s">
        <v>122</v>
      </c>
      <c r="C9" s="15" t="s">
        <v>123</v>
      </c>
      <c r="D9" s="15" t="s">
        <v>129</v>
      </c>
      <c r="E9" s="15" t="s">
        <v>182</v>
      </c>
      <c r="F9" s="15" t="s">
        <v>183</v>
      </c>
      <c r="G9" s="15" t="s">
        <v>184</v>
      </c>
      <c r="H9" s="15" t="s">
        <v>185</v>
      </c>
      <c r="I9" s="15" t="s">
        <v>186</v>
      </c>
      <c r="J9" s="15" t="s">
        <v>187</v>
      </c>
      <c r="K9" s="15" t="s">
        <v>188</v>
      </c>
      <c r="L9" s="15" t="s">
        <v>189</v>
      </c>
      <c r="M9" s="15" t="s">
        <v>59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x14ac:dyDescent="0.3">
      <c r="A10" s="18">
        <v>46251</v>
      </c>
      <c r="B10" s="9" t="s">
        <v>287</v>
      </c>
      <c r="C10" s="9" t="str">
        <f>IFERROR(INDEX('Employee Master'!$B$10:$B$109,MATCH(B10,'Employee Master'!$A$10:$A$109,0)),"")</f>
        <v>Murugesan P</v>
      </c>
      <c r="D10" s="9" t="str">
        <f>IFERROR(INDEX('Employee Master'!$H$10:$H$109,MATCH(B10,'Employee Master'!$A$10:$A$109,0)),"")</f>
        <v>Human Resources</v>
      </c>
      <c r="E10" s="16" t="s">
        <v>42</v>
      </c>
      <c r="F10" s="19">
        <v>0.38541666666666702</v>
      </c>
      <c r="G10" s="19">
        <v>0.75694444444444398</v>
      </c>
      <c r="H10" s="16">
        <v>2</v>
      </c>
      <c r="I10" s="9"/>
      <c r="J10" s="16">
        <f t="shared" ref="J10:J73" si="0">IF(AND(F10&lt;&gt;"",G10&lt;&gt;""),ROUND((G10-F10)*24,2),"")</f>
        <v>8.92</v>
      </c>
      <c r="K10" s="16" t="str">
        <f>IF(F10&lt;&gt;"",IF(F10&gt;Lists!$L$10,"Late","On Time"),"")</f>
        <v>On Time</v>
      </c>
      <c r="L10" s="16" t="str">
        <f>IF(G10&lt;&gt;"",IF(G10&lt;Lists!$L$11,"Early","On Time"),"")</f>
        <v>On Time</v>
      </c>
      <c r="M10" s="9" t="str">
        <f t="shared" ref="M10:M73" si="1">IF(E10="","",E10&amp;IF(K10="Late"," +Late","")&amp;IF(L10="Early"," +Early Exit",""))</f>
        <v>P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x14ac:dyDescent="0.3">
      <c r="A11" s="18">
        <v>46251</v>
      </c>
      <c r="B11" s="9" t="s">
        <v>288</v>
      </c>
      <c r="C11" s="9" t="str">
        <f>IFERROR(INDEX('Employee Master'!$B$10:$B$109,MATCH(B11,'Employee Master'!$A$10:$A$109,0)),"")</f>
        <v>Vijay K</v>
      </c>
      <c r="D11" s="9" t="str">
        <f>IFERROR(INDEX('Employee Master'!$H$10:$H$109,MATCH(B11,'Employee Master'!$A$10:$A$109,0)),"")</f>
        <v>Finance &amp; Accounts</v>
      </c>
      <c r="E11" s="16" t="s">
        <v>44</v>
      </c>
      <c r="F11" s="19"/>
      <c r="G11" s="19"/>
      <c r="H11" s="16">
        <v>0</v>
      </c>
      <c r="I11" s="9"/>
      <c r="J11" s="16" t="str">
        <f t="shared" si="0"/>
        <v/>
      </c>
      <c r="K11" s="16" t="str">
        <f>IF(F11&lt;&gt;"",IF(F11&gt;Lists!$L$10,"Late","On Time"),"")</f>
        <v/>
      </c>
      <c r="L11" s="16" t="str">
        <f>IF(G11&lt;&gt;"",IF(G11&lt;Lists!$L$11,"Early","On Time"),"")</f>
        <v/>
      </c>
      <c r="M11" s="9" t="str">
        <f t="shared" si="1"/>
        <v>A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x14ac:dyDescent="0.3">
      <c r="A12" s="18">
        <v>46251</v>
      </c>
      <c r="B12" s="9" t="s">
        <v>289</v>
      </c>
      <c r="C12" s="9" t="str">
        <f>IFERROR(INDEX('Employee Master'!$B$10:$B$109,MATCH(B12,'Employee Master'!$A$10:$A$109,0)),"")</f>
        <v>Murugesan P</v>
      </c>
      <c r="D12" s="9" t="str">
        <f>IFERROR(INDEX('Employee Master'!$H$10:$H$109,MATCH(B12,'Employee Master'!$A$10:$A$109,0)),"")</f>
        <v>Administration</v>
      </c>
      <c r="E12" s="16" t="s">
        <v>42</v>
      </c>
      <c r="F12" s="19">
        <v>0.37847222222222199</v>
      </c>
      <c r="G12" s="19">
        <v>0.76388888888888895</v>
      </c>
      <c r="H12" s="16">
        <v>0</v>
      </c>
      <c r="I12" s="9"/>
      <c r="J12" s="16">
        <f t="shared" si="0"/>
        <v>9.25</v>
      </c>
      <c r="K12" s="16" t="str">
        <f>IF(F12&lt;&gt;"",IF(F12&gt;Lists!$L$10,"Late","On Time"),"")</f>
        <v>On Time</v>
      </c>
      <c r="L12" s="16" t="str">
        <f>IF(G12&lt;&gt;"",IF(G12&lt;Lists!$L$11,"Early","On Time"),"")</f>
        <v>On Time</v>
      </c>
      <c r="M12" s="9" t="str">
        <f t="shared" si="1"/>
        <v>P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x14ac:dyDescent="0.3">
      <c r="A13" s="18">
        <v>46251</v>
      </c>
      <c r="B13" s="9" t="s">
        <v>290</v>
      </c>
      <c r="C13" s="9" t="str">
        <f>IFERROR(INDEX('Employee Master'!$B$10:$B$109,MATCH(B13,'Employee Master'!$A$10:$A$109,0)),"")</f>
        <v>Murugesan S</v>
      </c>
      <c r="D13" s="9" t="str">
        <f>IFERROR(INDEX('Employee Master'!$H$10:$H$109,MATCH(B13,'Employee Master'!$A$10:$A$109,0)),"")</f>
        <v>Operations</v>
      </c>
      <c r="E13" s="16" t="s">
        <v>42</v>
      </c>
      <c r="F13" s="19">
        <v>0.390277777777778</v>
      </c>
      <c r="G13" s="19">
        <v>0.75</v>
      </c>
      <c r="H13" s="16">
        <v>1.5</v>
      </c>
      <c r="I13" s="9"/>
      <c r="J13" s="16">
        <f t="shared" si="0"/>
        <v>8.6300000000000008</v>
      </c>
      <c r="K13" s="16" t="str">
        <f>IF(F13&lt;&gt;"",IF(F13&gt;Lists!$L$10,"Late","On Time"),"")</f>
        <v>On Time</v>
      </c>
      <c r="L13" s="16" t="str">
        <f>IF(G13&lt;&gt;"",IF(G13&lt;Lists!$L$11,"Early","On Time"),"")</f>
        <v>On Time</v>
      </c>
      <c r="M13" s="9" t="str">
        <f t="shared" si="1"/>
        <v>P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 x14ac:dyDescent="0.3">
      <c r="A14" s="18">
        <v>46251</v>
      </c>
      <c r="B14" s="9" t="s">
        <v>291</v>
      </c>
      <c r="C14" s="9" t="str">
        <f>IFERROR(INDEX('Employee Master'!$B$10:$B$109,MATCH(B14,'Employee Master'!$A$10:$A$109,0)),"")</f>
        <v>Murugesan</v>
      </c>
      <c r="D14" s="9" t="str">
        <f>IFERROR(INDEX('Employee Master'!$H$10:$H$109,MATCH(B14,'Employee Master'!$A$10:$A$109,0)),"")</f>
        <v>Sales &amp; Marketing</v>
      </c>
      <c r="E14" s="16" t="s">
        <v>42</v>
      </c>
      <c r="F14" s="19">
        <v>0.37847222222222199</v>
      </c>
      <c r="G14" s="19">
        <v>0.75</v>
      </c>
      <c r="H14" s="16">
        <v>0</v>
      </c>
      <c r="I14" s="9"/>
      <c r="J14" s="16">
        <f t="shared" si="0"/>
        <v>8.92</v>
      </c>
      <c r="K14" s="16" t="str">
        <f>IF(F14&lt;&gt;"",IF(F14&gt;Lists!$L$10,"Late","On Time"),"")</f>
        <v>On Time</v>
      </c>
      <c r="L14" s="16" t="str">
        <f>IF(G14&lt;&gt;"",IF(G14&lt;Lists!$L$11,"Early","On Time"),"")</f>
        <v>On Time</v>
      </c>
      <c r="M14" s="9" t="str">
        <f t="shared" si="1"/>
        <v>P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x14ac:dyDescent="0.3">
      <c r="A15" s="18">
        <v>46251</v>
      </c>
      <c r="B15" s="9" t="s">
        <v>292</v>
      </c>
      <c r="C15" s="9" t="str">
        <f>IFERROR(INDEX('Employee Master'!$B$10:$B$109,MATCH(B15,'Employee Master'!$A$10:$A$109,0)),"")</f>
        <v>Elango K</v>
      </c>
      <c r="D15" s="9" t="str">
        <f>IFERROR(INDEX('Employee Master'!$H$10:$H$109,MATCH(B15,'Employee Master'!$A$10:$A$109,0)),"")</f>
        <v>IT &amp; Systems</v>
      </c>
      <c r="E15" s="16" t="s">
        <v>44</v>
      </c>
      <c r="F15" s="19"/>
      <c r="G15" s="19"/>
      <c r="H15" s="16">
        <v>0</v>
      </c>
      <c r="I15" s="9"/>
      <c r="J15" s="16" t="str">
        <f t="shared" si="0"/>
        <v/>
      </c>
      <c r="K15" s="16" t="str">
        <f>IF(F15&lt;&gt;"",IF(F15&gt;Lists!$L$10,"Late","On Time"),"")</f>
        <v/>
      </c>
      <c r="L15" s="16" t="str">
        <f>IF(G15&lt;&gt;"",IF(G15&lt;Lists!$L$11,"Early","On Time"),"")</f>
        <v/>
      </c>
      <c r="M15" s="9" t="str">
        <f t="shared" si="1"/>
        <v>A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 x14ac:dyDescent="0.3">
      <c r="A16" s="18">
        <v>46251</v>
      </c>
      <c r="B16" s="9" t="s">
        <v>293</v>
      </c>
      <c r="C16" s="9" t="str">
        <f>IFERROR(INDEX('Employee Master'!$B$10:$B$109,MATCH(B16,'Employee Master'!$A$10:$A$109,0)),"")</f>
        <v>Murugan</v>
      </c>
      <c r="D16" s="9" t="str">
        <f>IFERROR(INDEX('Employee Master'!$H$10:$H$109,MATCH(B16,'Employee Master'!$A$10:$A$109,0)),"")</f>
        <v>Procurement</v>
      </c>
      <c r="E16" s="16" t="s">
        <v>42</v>
      </c>
      <c r="F16" s="19">
        <v>0.38750000000000001</v>
      </c>
      <c r="G16" s="19">
        <v>0.75694444444444398</v>
      </c>
      <c r="H16" s="16">
        <v>0</v>
      </c>
      <c r="I16" s="9"/>
      <c r="J16" s="16">
        <f t="shared" si="0"/>
        <v>8.8699999999999992</v>
      </c>
      <c r="K16" s="16" t="str">
        <f>IF(F16&lt;&gt;"",IF(F16&gt;Lists!$L$10,"Late","On Time"),"")</f>
        <v>On Time</v>
      </c>
      <c r="L16" s="16" t="str">
        <f>IF(G16&lt;&gt;"",IF(G16&lt;Lists!$L$11,"Early","On Time"),"")</f>
        <v>On Time</v>
      </c>
      <c r="M16" s="9" t="str">
        <f t="shared" si="1"/>
        <v>P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 x14ac:dyDescent="0.3">
      <c r="A17" s="18">
        <v>46251</v>
      </c>
      <c r="B17" s="9" t="s">
        <v>294</v>
      </c>
      <c r="C17" s="9" t="str">
        <f>IFERROR(INDEX('Employee Master'!$B$10:$B$109,MATCH(B17,'Employee Master'!$A$10:$A$109,0)),"")</f>
        <v>Bala Murugan</v>
      </c>
      <c r="D17" s="9" t="str">
        <f>IFERROR(INDEX('Employee Master'!$H$10:$H$109,MATCH(B17,'Employee Master'!$A$10:$A$109,0)),"")</f>
        <v>Quality Control</v>
      </c>
      <c r="E17" s="16" t="s">
        <v>42</v>
      </c>
      <c r="F17" s="19">
        <v>0.390277777777778</v>
      </c>
      <c r="G17" s="19">
        <v>0.77430555555555602</v>
      </c>
      <c r="H17" s="16">
        <v>0</v>
      </c>
      <c r="I17" s="9"/>
      <c r="J17" s="16">
        <f t="shared" si="0"/>
        <v>9.2200000000000006</v>
      </c>
      <c r="K17" s="16" t="str">
        <f>IF(F17&lt;&gt;"",IF(F17&gt;Lists!$L$10,"Late","On Time"),"")</f>
        <v>On Time</v>
      </c>
      <c r="L17" s="16" t="str">
        <f>IF(G17&lt;&gt;"",IF(G17&lt;Lists!$L$11,"Early","On Time"),"")</f>
        <v>On Time</v>
      </c>
      <c r="M17" s="9" t="str">
        <f t="shared" si="1"/>
        <v>P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x14ac:dyDescent="0.3">
      <c r="A18" s="18">
        <v>46251</v>
      </c>
      <c r="B18" s="9" t="s">
        <v>295</v>
      </c>
      <c r="C18" s="9" t="str">
        <f>IFERROR(INDEX('Employee Master'!$B$10:$B$109,MATCH(B18,'Employee Master'!$A$10:$A$109,0)),"")</f>
        <v>Murugesan V</v>
      </c>
      <c r="D18" s="9" t="str">
        <f>IFERROR(INDEX('Employee Master'!$H$10:$H$109,MATCH(B18,'Employee Master'!$A$10:$A$109,0)),"")</f>
        <v>Maintenance</v>
      </c>
      <c r="E18" s="16" t="s">
        <v>42</v>
      </c>
      <c r="F18" s="19">
        <v>0.38541666666666702</v>
      </c>
      <c r="G18" s="19">
        <v>0.75</v>
      </c>
      <c r="H18" s="16">
        <v>0</v>
      </c>
      <c r="I18" s="9"/>
      <c r="J18" s="16">
        <f t="shared" si="0"/>
        <v>8.75</v>
      </c>
      <c r="K18" s="16" t="str">
        <f>IF(F18&lt;&gt;"",IF(F18&gt;Lists!$L$10,"Late","On Time"),"")</f>
        <v>On Time</v>
      </c>
      <c r="L18" s="16" t="str">
        <f>IF(G18&lt;&gt;"",IF(G18&lt;Lists!$L$11,"Early","On Time"),"")</f>
        <v>On Time</v>
      </c>
      <c r="M18" s="9" t="str">
        <f t="shared" si="1"/>
        <v>P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x14ac:dyDescent="0.3">
      <c r="A19" s="18">
        <v>46251</v>
      </c>
      <c r="B19" s="9" t="s">
        <v>296</v>
      </c>
      <c r="C19" s="9" t="str">
        <f>IFERROR(INDEX('Employee Master'!$B$10:$B$109,MATCH(B19,'Employee Master'!$A$10:$A$109,0)),"")</f>
        <v>Elango P</v>
      </c>
      <c r="D19" s="9" t="str">
        <f>IFERROR(INDEX('Employee Master'!$H$10:$H$109,MATCH(B19,'Employee Master'!$A$10:$A$109,0)),"")</f>
        <v>Customer Support</v>
      </c>
      <c r="E19" s="16" t="s">
        <v>42</v>
      </c>
      <c r="F19" s="19">
        <v>0.37847222222222199</v>
      </c>
      <c r="G19" s="19">
        <v>0.75694444444444398</v>
      </c>
      <c r="H19" s="16">
        <v>0</v>
      </c>
      <c r="I19" s="9"/>
      <c r="J19" s="16">
        <f t="shared" si="0"/>
        <v>9.08</v>
      </c>
      <c r="K19" s="16" t="str">
        <f>IF(F19&lt;&gt;"",IF(F19&gt;Lists!$L$10,"Late","On Time"),"")</f>
        <v>On Time</v>
      </c>
      <c r="L19" s="16" t="str">
        <f>IF(G19&lt;&gt;"",IF(G19&lt;Lists!$L$11,"Early","On Time"),"")</f>
        <v>On Time</v>
      </c>
      <c r="M19" s="9" t="str">
        <f t="shared" si="1"/>
        <v>P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x14ac:dyDescent="0.3">
      <c r="A20" s="18">
        <v>46251</v>
      </c>
      <c r="B20" s="9" t="s">
        <v>297</v>
      </c>
      <c r="C20" s="9" t="str">
        <f>IFERROR(INDEX('Employee Master'!$B$10:$B$109,MATCH(B20,'Employee Master'!$A$10:$A$109,0)),"")</f>
        <v>Senthil Kumar K</v>
      </c>
      <c r="D20" s="9" t="str">
        <f>IFERROR(INDEX('Employee Master'!$H$10:$H$109,MATCH(B20,'Employee Master'!$A$10:$A$109,0)),"")</f>
        <v>Human Resources</v>
      </c>
      <c r="E20" s="16" t="s">
        <v>42</v>
      </c>
      <c r="F20" s="19">
        <v>0.38541666666666702</v>
      </c>
      <c r="G20" s="19">
        <v>0.75</v>
      </c>
      <c r="H20" s="16">
        <v>0</v>
      </c>
      <c r="I20" s="9"/>
      <c r="J20" s="16">
        <f t="shared" si="0"/>
        <v>8.75</v>
      </c>
      <c r="K20" s="16" t="str">
        <f>IF(F20&lt;&gt;"",IF(F20&gt;Lists!$L$10,"Late","On Time"),"")</f>
        <v>On Time</v>
      </c>
      <c r="L20" s="16" t="str">
        <f>IF(G20&lt;&gt;"",IF(G20&lt;Lists!$L$11,"Early","On Time"),"")</f>
        <v>On Time</v>
      </c>
      <c r="M20" s="9" t="str">
        <f t="shared" si="1"/>
        <v>P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 x14ac:dyDescent="0.3">
      <c r="A21" s="18">
        <v>46251</v>
      </c>
      <c r="B21" s="9" t="s">
        <v>298</v>
      </c>
      <c r="C21" s="9" t="str">
        <f>IFERROR(INDEX('Employee Master'!$B$10:$B$109,MATCH(B21,'Employee Master'!$A$10:$A$109,0)),"")</f>
        <v>Saravanan P</v>
      </c>
      <c r="D21" s="9" t="str">
        <f>IFERROR(INDEX('Employee Master'!$H$10:$H$109,MATCH(B21,'Employee Master'!$A$10:$A$109,0)),"")</f>
        <v>Finance &amp; Accounts</v>
      </c>
      <c r="E21" s="16" t="s">
        <v>42</v>
      </c>
      <c r="F21" s="19">
        <v>0.38541666666666702</v>
      </c>
      <c r="G21" s="19">
        <v>0.75</v>
      </c>
      <c r="H21" s="16">
        <v>0</v>
      </c>
      <c r="I21" s="9"/>
      <c r="J21" s="16">
        <f t="shared" si="0"/>
        <v>8.75</v>
      </c>
      <c r="K21" s="16" t="str">
        <f>IF(F21&lt;&gt;"",IF(F21&gt;Lists!$L$10,"Late","On Time"),"")</f>
        <v>On Time</v>
      </c>
      <c r="L21" s="16" t="str">
        <f>IF(G21&lt;&gt;"",IF(G21&lt;Lists!$L$11,"Early","On Time"),"")</f>
        <v>On Time</v>
      </c>
      <c r="M21" s="9" t="str">
        <f t="shared" si="1"/>
        <v>P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 x14ac:dyDescent="0.3">
      <c r="A22" s="18">
        <v>46251</v>
      </c>
      <c r="B22" s="9" t="s">
        <v>299</v>
      </c>
      <c r="C22" s="9" t="str">
        <f>IFERROR(INDEX('Employee Master'!$B$10:$B$109,MATCH(B22,'Employee Master'!$A$10:$A$109,0)),"")</f>
        <v>Karthik V</v>
      </c>
      <c r="D22" s="9" t="str">
        <f>IFERROR(INDEX('Employee Master'!$H$10:$H$109,MATCH(B22,'Employee Master'!$A$10:$A$109,0)),"")</f>
        <v>Administration</v>
      </c>
      <c r="E22" s="16" t="s">
        <v>42</v>
      </c>
      <c r="F22" s="19">
        <v>0.390277777777778</v>
      </c>
      <c r="G22" s="19">
        <v>0.76388888888888895</v>
      </c>
      <c r="H22" s="16">
        <v>0</v>
      </c>
      <c r="I22" s="9"/>
      <c r="J22" s="16">
        <f t="shared" si="0"/>
        <v>8.9700000000000006</v>
      </c>
      <c r="K22" s="16" t="str">
        <f>IF(F22&lt;&gt;"",IF(F22&gt;Lists!$L$10,"Late","On Time"),"")</f>
        <v>On Time</v>
      </c>
      <c r="L22" s="16" t="str">
        <f>IF(G22&lt;&gt;"",IF(G22&lt;Lists!$L$11,"Early","On Time"),"")</f>
        <v>On Time</v>
      </c>
      <c r="M22" s="9" t="str">
        <f t="shared" si="1"/>
        <v>P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 x14ac:dyDescent="0.3">
      <c r="A23" s="18">
        <v>46251</v>
      </c>
      <c r="B23" s="9" t="s">
        <v>300</v>
      </c>
      <c r="C23" s="9" t="str">
        <f>IFERROR(INDEX('Employee Master'!$B$10:$B$109,MATCH(B23,'Employee Master'!$A$10:$A$109,0)),"")</f>
        <v>Senthil Kumar</v>
      </c>
      <c r="D23" s="9" t="str">
        <f>IFERROR(INDEX('Employee Master'!$H$10:$H$109,MATCH(B23,'Employee Master'!$A$10:$A$109,0)),"")</f>
        <v>Operations</v>
      </c>
      <c r="E23" s="16" t="s">
        <v>42</v>
      </c>
      <c r="F23" s="19">
        <v>0.38194444444444398</v>
      </c>
      <c r="G23" s="19">
        <v>0.75</v>
      </c>
      <c r="H23" s="16">
        <v>0</v>
      </c>
      <c r="I23" s="9"/>
      <c r="J23" s="16">
        <f t="shared" si="0"/>
        <v>8.83</v>
      </c>
      <c r="K23" s="16" t="str">
        <f>IF(F23&lt;&gt;"",IF(F23&gt;Lists!$L$10,"Late","On Time"),"")</f>
        <v>On Time</v>
      </c>
      <c r="L23" s="16" t="str">
        <f>IF(G23&lt;&gt;"",IF(G23&lt;Lists!$L$11,"Early","On Time"),"")</f>
        <v>On Time</v>
      </c>
      <c r="M23" s="9" t="str">
        <f t="shared" si="1"/>
        <v>P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 x14ac:dyDescent="0.3">
      <c r="A24" s="18">
        <v>46251</v>
      </c>
      <c r="B24" s="9" t="s">
        <v>301</v>
      </c>
      <c r="C24" s="9" t="str">
        <f>IFERROR(INDEX('Employee Master'!$B$10:$B$109,MATCH(B24,'Employee Master'!$A$10:$A$109,0)),"")</f>
        <v>Gopinath P</v>
      </c>
      <c r="D24" s="9" t="str">
        <f>IFERROR(INDEX('Employee Master'!$H$10:$H$109,MATCH(B24,'Employee Master'!$A$10:$A$109,0)),"")</f>
        <v>Sales &amp; Marketing</v>
      </c>
      <c r="E24" s="16" t="s">
        <v>42</v>
      </c>
      <c r="F24" s="19">
        <v>0.37847222222222199</v>
      </c>
      <c r="G24" s="19">
        <v>0.75347222222222199</v>
      </c>
      <c r="H24" s="16">
        <v>0</v>
      </c>
      <c r="I24" s="9"/>
      <c r="J24" s="16">
        <f t="shared" si="0"/>
        <v>9</v>
      </c>
      <c r="K24" s="16" t="str">
        <f>IF(F24&lt;&gt;"",IF(F24&gt;Lists!$L$10,"Late","On Time"),"")</f>
        <v>On Time</v>
      </c>
      <c r="L24" s="16" t="str">
        <f>IF(G24&lt;&gt;"",IF(G24&lt;Lists!$L$11,"Early","On Time"),"")</f>
        <v>On Time</v>
      </c>
      <c r="M24" s="9" t="str">
        <f t="shared" si="1"/>
        <v>P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 x14ac:dyDescent="0.3">
      <c r="A25" s="18">
        <v>46251</v>
      </c>
      <c r="B25" s="9" t="s">
        <v>302</v>
      </c>
      <c r="C25" s="9" t="str">
        <f>IFERROR(INDEX('Employee Master'!$B$10:$B$109,MATCH(B25,'Employee Master'!$A$10:$A$109,0)),"")</f>
        <v>Muthu Raj</v>
      </c>
      <c r="D25" s="9" t="str">
        <f>IFERROR(INDEX('Employee Master'!$H$10:$H$109,MATCH(B25,'Employee Master'!$A$10:$A$109,0)),"")</f>
        <v>IT &amp; Systems</v>
      </c>
      <c r="E25" s="16" t="s">
        <v>42</v>
      </c>
      <c r="F25" s="19">
        <v>0.38541666666666702</v>
      </c>
      <c r="G25" s="19">
        <v>0.75694444444444398</v>
      </c>
      <c r="H25" s="16">
        <v>0</v>
      </c>
      <c r="I25" s="9"/>
      <c r="J25" s="16">
        <f t="shared" si="0"/>
        <v>8.92</v>
      </c>
      <c r="K25" s="16" t="str">
        <f>IF(F25&lt;&gt;"",IF(F25&gt;Lists!$L$10,"Late","On Time"),"")</f>
        <v>On Time</v>
      </c>
      <c r="L25" s="16" t="str">
        <f>IF(G25&lt;&gt;"",IF(G25&lt;Lists!$L$11,"Early","On Time"),"")</f>
        <v>On Time</v>
      </c>
      <c r="M25" s="9" t="str">
        <f t="shared" si="1"/>
        <v>P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 x14ac:dyDescent="0.3">
      <c r="A26" s="18">
        <v>46251</v>
      </c>
      <c r="B26" s="9" t="s">
        <v>303</v>
      </c>
      <c r="C26" s="9" t="str">
        <f>IFERROR(INDEX('Employee Master'!$B$10:$B$109,MATCH(B26,'Employee Master'!$A$10:$A$109,0)),"")</f>
        <v>Senthil Kumar S</v>
      </c>
      <c r="D26" s="9" t="str">
        <f>IFERROR(INDEX('Employee Master'!$H$10:$H$109,MATCH(B26,'Employee Master'!$A$10:$A$109,0)),"")</f>
        <v>Procurement</v>
      </c>
      <c r="E26" s="16" t="s">
        <v>42</v>
      </c>
      <c r="F26" s="19">
        <v>0.38750000000000001</v>
      </c>
      <c r="G26" s="19">
        <v>0.77430555555555602</v>
      </c>
      <c r="H26" s="16">
        <v>0</v>
      </c>
      <c r="I26" s="9"/>
      <c r="J26" s="16">
        <f t="shared" si="0"/>
        <v>9.2799999999999994</v>
      </c>
      <c r="K26" s="16" t="str">
        <f>IF(F26&lt;&gt;"",IF(F26&gt;Lists!$L$10,"Late","On Time"),"")</f>
        <v>On Time</v>
      </c>
      <c r="L26" s="16" t="str">
        <f>IF(G26&lt;&gt;"",IF(G26&lt;Lists!$L$11,"Early","On Time"),"")</f>
        <v>On Time</v>
      </c>
      <c r="M26" s="9" t="str">
        <f t="shared" si="1"/>
        <v>P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 x14ac:dyDescent="0.3">
      <c r="A27" s="18">
        <v>46251</v>
      </c>
      <c r="B27" s="9" t="s">
        <v>304</v>
      </c>
      <c r="C27" s="9" t="str">
        <f>IFERROR(INDEX('Employee Master'!$B$10:$B$109,MATCH(B27,'Employee Master'!$A$10:$A$109,0)),"")</f>
        <v>Sowmya V</v>
      </c>
      <c r="D27" s="9" t="str">
        <f>IFERROR(INDEX('Employee Master'!$H$10:$H$109,MATCH(B27,'Employee Master'!$A$10:$A$109,0)),"")</f>
        <v>Quality Control</v>
      </c>
      <c r="E27" s="16" t="s">
        <v>42</v>
      </c>
      <c r="F27" s="19">
        <v>0.37847222222222199</v>
      </c>
      <c r="G27" s="19">
        <v>0.75694444444444398</v>
      </c>
      <c r="H27" s="16">
        <v>1</v>
      </c>
      <c r="I27" s="9"/>
      <c r="J27" s="16">
        <f t="shared" si="0"/>
        <v>9.08</v>
      </c>
      <c r="K27" s="16" t="str">
        <f>IF(F27&lt;&gt;"",IF(F27&gt;Lists!$L$10,"Late","On Time"),"")</f>
        <v>On Time</v>
      </c>
      <c r="L27" s="16" t="str">
        <f>IF(G27&lt;&gt;"",IF(G27&lt;Lists!$L$11,"Early","On Time"),"")</f>
        <v>On Time</v>
      </c>
      <c r="M27" s="9" t="str">
        <f t="shared" si="1"/>
        <v>P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 x14ac:dyDescent="0.3">
      <c r="A28" s="18">
        <v>46251</v>
      </c>
      <c r="B28" s="9" t="s">
        <v>305</v>
      </c>
      <c r="C28" s="9" t="str">
        <f>IFERROR(INDEX('Employee Master'!$B$10:$B$109,MATCH(B28,'Employee Master'!$A$10:$A$109,0)),"")</f>
        <v>Nandhini</v>
      </c>
      <c r="D28" s="9" t="str">
        <f>IFERROR(INDEX('Employee Master'!$H$10:$H$109,MATCH(B28,'Employee Master'!$A$10:$A$109,0)),"")</f>
        <v>Maintenance</v>
      </c>
      <c r="E28" s="16" t="s">
        <v>42</v>
      </c>
      <c r="F28" s="19">
        <v>0.390277777777778</v>
      </c>
      <c r="G28" s="19">
        <v>0.75347222222222199</v>
      </c>
      <c r="H28" s="16">
        <v>0</v>
      </c>
      <c r="I28" s="9"/>
      <c r="J28" s="16">
        <f t="shared" si="0"/>
        <v>8.7200000000000006</v>
      </c>
      <c r="K28" s="16" t="str">
        <f>IF(F28&lt;&gt;"",IF(F28&gt;Lists!$L$10,"Late","On Time"),"")</f>
        <v>On Time</v>
      </c>
      <c r="L28" s="16" t="str">
        <f>IF(G28&lt;&gt;"",IF(G28&lt;Lists!$L$11,"Early","On Time"),"")</f>
        <v>On Time</v>
      </c>
      <c r="M28" s="9" t="str">
        <f t="shared" si="1"/>
        <v>P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 x14ac:dyDescent="0.3">
      <c r="A29" s="18">
        <v>46251</v>
      </c>
      <c r="B29" s="9" t="s">
        <v>306</v>
      </c>
      <c r="C29" s="9" t="str">
        <f>IFERROR(INDEX('Employee Master'!$B$10:$B$109,MATCH(B29,'Employee Master'!$A$10:$A$109,0)),"")</f>
        <v>Divya</v>
      </c>
      <c r="D29" s="9" t="str">
        <f>IFERROR(INDEX('Employee Master'!$H$10:$H$109,MATCH(B29,'Employee Master'!$A$10:$A$109,0)),"")</f>
        <v>Customer Support</v>
      </c>
      <c r="E29" s="16" t="s">
        <v>42</v>
      </c>
      <c r="F29" s="19">
        <v>0.38750000000000001</v>
      </c>
      <c r="G29" s="19">
        <v>0.75</v>
      </c>
      <c r="H29" s="16">
        <v>0</v>
      </c>
      <c r="I29" s="9"/>
      <c r="J29" s="16">
        <f t="shared" si="0"/>
        <v>8.6999999999999993</v>
      </c>
      <c r="K29" s="16" t="str">
        <f>IF(F29&lt;&gt;"",IF(F29&gt;Lists!$L$10,"Late","On Time"),"")</f>
        <v>On Time</v>
      </c>
      <c r="L29" s="16" t="str">
        <f>IF(G29&lt;&gt;"",IF(G29&lt;Lists!$L$11,"Early","On Time"),"")</f>
        <v>On Time</v>
      </c>
      <c r="M29" s="9" t="str">
        <f t="shared" si="1"/>
        <v>P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 x14ac:dyDescent="0.3">
      <c r="A30" s="18">
        <v>46251</v>
      </c>
      <c r="B30" s="9" t="s">
        <v>307</v>
      </c>
      <c r="C30" s="9" t="str">
        <f>IFERROR(INDEX('Employee Master'!$B$10:$B$109,MATCH(B30,'Employee Master'!$A$10:$A$109,0)),"")</f>
        <v>Divya K</v>
      </c>
      <c r="D30" s="9" t="str">
        <f>IFERROR(INDEX('Employee Master'!$H$10:$H$109,MATCH(B30,'Employee Master'!$A$10:$A$109,0)),"")</f>
        <v>Human Resources</v>
      </c>
      <c r="E30" s="16" t="s">
        <v>42</v>
      </c>
      <c r="F30" s="19">
        <v>0.39236111111111099</v>
      </c>
      <c r="G30" s="19">
        <v>0.76388888888888895</v>
      </c>
      <c r="H30" s="16">
        <v>0</v>
      </c>
      <c r="I30" s="9"/>
      <c r="J30" s="16">
        <f t="shared" si="0"/>
        <v>8.92</v>
      </c>
      <c r="K30" s="16" t="str">
        <f>IF(F30&lt;&gt;"",IF(F30&gt;Lists!$L$10,"Late","On Time"),"")</f>
        <v>On Time</v>
      </c>
      <c r="L30" s="16" t="str">
        <f>IF(G30&lt;&gt;"",IF(G30&lt;Lists!$L$11,"Early","On Time"),"")</f>
        <v>On Time</v>
      </c>
      <c r="M30" s="9" t="str">
        <f t="shared" si="1"/>
        <v>P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 x14ac:dyDescent="0.3">
      <c r="A31" s="18">
        <v>46251</v>
      </c>
      <c r="B31" s="9" t="s">
        <v>308</v>
      </c>
      <c r="C31" s="9" t="str">
        <f>IFERROR(INDEX('Employee Master'!$B$10:$B$109,MATCH(B31,'Employee Master'!$A$10:$A$109,0)),"")</f>
        <v>Karthik S</v>
      </c>
      <c r="D31" s="9" t="str">
        <f>IFERROR(INDEX('Employee Master'!$H$10:$H$109,MATCH(B31,'Employee Master'!$A$10:$A$109,0)),"")</f>
        <v>Finance &amp; Accounts</v>
      </c>
      <c r="E31" s="16" t="s">
        <v>42</v>
      </c>
      <c r="F31" s="19">
        <v>0.390277777777778</v>
      </c>
      <c r="G31" s="19">
        <v>0.75694444444444398</v>
      </c>
      <c r="H31" s="16">
        <v>0</v>
      </c>
      <c r="I31" s="9"/>
      <c r="J31" s="16">
        <f t="shared" si="0"/>
        <v>8.8000000000000007</v>
      </c>
      <c r="K31" s="16" t="str">
        <f>IF(F31&lt;&gt;"",IF(F31&gt;Lists!$L$10,"Late","On Time"),"")</f>
        <v>On Time</v>
      </c>
      <c r="L31" s="16" t="str">
        <f>IF(G31&lt;&gt;"",IF(G31&lt;Lists!$L$11,"Early","On Time"),"")</f>
        <v>On Time</v>
      </c>
      <c r="M31" s="9" t="str">
        <f t="shared" si="1"/>
        <v>P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 x14ac:dyDescent="0.3">
      <c r="A32" s="18">
        <v>46251</v>
      </c>
      <c r="B32" s="9" t="s">
        <v>309</v>
      </c>
      <c r="C32" s="9" t="str">
        <f>IFERROR(INDEX('Employee Master'!$B$10:$B$109,MATCH(B32,'Employee Master'!$A$10:$A$109,0)),"")</f>
        <v>Dinesh</v>
      </c>
      <c r="D32" s="9" t="str">
        <f>IFERROR(INDEX('Employee Master'!$H$10:$H$109,MATCH(B32,'Employee Master'!$A$10:$A$109,0)),"")</f>
        <v>Administration</v>
      </c>
      <c r="E32" s="16" t="s">
        <v>42</v>
      </c>
      <c r="F32" s="19">
        <v>0.38541666666666702</v>
      </c>
      <c r="G32" s="19">
        <v>0.75347222222222199</v>
      </c>
      <c r="H32" s="16">
        <v>0</v>
      </c>
      <c r="I32" s="9"/>
      <c r="J32" s="16">
        <f t="shared" si="0"/>
        <v>8.83</v>
      </c>
      <c r="K32" s="16" t="str">
        <f>IF(F32&lt;&gt;"",IF(F32&gt;Lists!$L$10,"Late","On Time"),"")</f>
        <v>On Time</v>
      </c>
      <c r="L32" s="16" t="str">
        <f>IF(G32&lt;&gt;"",IF(G32&lt;Lists!$L$11,"Early","On Time"),"")</f>
        <v>On Time</v>
      </c>
      <c r="M32" s="9" t="str">
        <f t="shared" si="1"/>
        <v>P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 x14ac:dyDescent="0.3">
      <c r="A33" s="18">
        <v>46251</v>
      </c>
      <c r="B33" s="9" t="s">
        <v>310</v>
      </c>
      <c r="C33" s="9" t="str">
        <f>IFERROR(INDEX('Employee Master'!$B$10:$B$109,MATCH(B33,'Employee Master'!$A$10:$A$109,0)),"")</f>
        <v>Kumaresan M</v>
      </c>
      <c r="D33" s="9" t="str">
        <f>IFERROR(INDEX('Employee Master'!$H$10:$H$109,MATCH(B33,'Employee Master'!$A$10:$A$109,0)),"")</f>
        <v>Operations</v>
      </c>
      <c r="E33" s="16" t="s">
        <v>42</v>
      </c>
      <c r="F33" s="19">
        <v>0.39236111111111099</v>
      </c>
      <c r="G33" s="19">
        <v>0.75347222222222199</v>
      </c>
      <c r="H33" s="16">
        <v>0</v>
      </c>
      <c r="I33" s="9"/>
      <c r="J33" s="16">
        <f t="shared" si="0"/>
        <v>8.67</v>
      </c>
      <c r="K33" s="16" t="str">
        <f>IF(F33&lt;&gt;"",IF(F33&gt;Lists!$L$10,"Late","On Time"),"")</f>
        <v>On Time</v>
      </c>
      <c r="L33" s="16" t="str">
        <f>IF(G33&lt;&gt;"",IF(G33&lt;Lists!$L$11,"Early","On Time"),"")</f>
        <v>On Time</v>
      </c>
      <c r="M33" s="9" t="str">
        <f t="shared" si="1"/>
        <v>P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  <row r="34" spans="1:45" x14ac:dyDescent="0.3">
      <c r="A34" s="18">
        <v>46251</v>
      </c>
      <c r="B34" s="9" t="s">
        <v>311</v>
      </c>
      <c r="C34" s="9" t="str">
        <f>IFERROR(INDEX('Employee Master'!$B$10:$B$109,MATCH(B34,'Employee Master'!$A$10:$A$109,0)),"")</f>
        <v>Vijay P</v>
      </c>
      <c r="D34" s="9" t="str">
        <f>IFERROR(INDEX('Employee Master'!$H$10:$H$109,MATCH(B34,'Employee Master'!$A$10:$A$109,0)),"")</f>
        <v>Sales &amp; Marketing</v>
      </c>
      <c r="E34" s="16" t="s">
        <v>42</v>
      </c>
      <c r="F34" s="19">
        <v>0.37847222222222199</v>
      </c>
      <c r="G34" s="19">
        <v>0.75347222222222199</v>
      </c>
      <c r="H34" s="16">
        <v>2</v>
      </c>
      <c r="I34" s="9"/>
      <c r="J34" s="16">
        <f t="shared" si="0"/>
        <v>9</v>
      </c>
      <c r="K34" s="16" t="str">
        <f>IF(F34&lt;&gt;"",IF(F34&gt;Lists!$L$10,"Late","On Time"),"")</f>
        <v>On Time</v>
      </c>
      <c r="L34" s="16" t="str">
        <f>IF(G34&lt;&gt;"",IF(G34&lt;Lists!$L$11,"Early","On Time"),"")</f>
        <v>On Time</v>
      </c>
      <c r="M34" s="9" t="str">
        <f t="shared" si="1"/>
        <v>P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</row>
    <row r="35" spans="1:45" x14ac:dyDescent="0.3">
      <c r="A35" s="18">
        <v>46251</v>
      </c>
      <c r="B35" s="9" t="s">
        <v>312</v>
      </c>
      <c r="C35" s="9" t="str">
        <f>IFERROR(INDEX('Employee Master'!$B$10:$B$109,MATCH(B35,'Employee Master'!$A$10:$A$109,0)),"")</f>
        <v>Divya R</v>
      </c>
      <c r="D35" s="9" t="str">
        <f>IFERROR(INDEX('Employee Master'!$H$10:$H$109,MATCH(B35,'Employee Master'!$A$10:$A$109,0)),"")</f>
        <v>IT &amp; Systems</v>
      </c>
      <c r="E35" s="16" t="s">
        <v>42</v>
      </c>
      <c r="F35" s="19">
        <v>0.37847222222222199</v>
      </c>
      <c r="G35" s="19">
        <v>0.75</v>
      </c>
      <c r="H35" s="16">
        <v>0</v>
      </c>
      <c r="I35" s="9"/>
      <c r="J35" s="16">
        <f t="shared" si="0"/>
        <v>8.92</v>
      </c>
      <c r="K35" s="16" t="str">
        <f>IF(F35&lt;&gt;"",IF(F35&gt;Lists!$L$10,"Late","On Time"),"")</f>
        <v>On Time</v>
      </c>
      <c r="L35" s="16" t="str">
        <f>IF(G35&lt;&gt;"",IF(G35&lt;Lists!$L$11,"Early","On Time"),"")</f>
        <v>On Time</v>
      </c>
      <c r="M35" s="9" t="str">
        <f t="shared" si="1"/>
        <v>P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</row>
    <row r="36" spans="1:45" x14ac:dyDescent="0.3">
      <c r="A36" s="18">
        <v>46251</v>
      </c>
      <c r="B36" s="9" t="s">
        <v>313</v>
      </c>
      <c r="C36" s="9" t="str">
        <f>IFERROR(INDEX('Employee Master'!$B$10:$B$109,MATCH(B36,'Employee Master'!$A$10:$A$109,0)),"")</f>
        <v>Selvam R</v>
      </c>
      <c r="D36" s="9" t="str">
        <f>IFERROR(INDEX('Employee Master'!$H$10:$H$109,MATCH(B36,'Employee Master'!$A$10:$A$109,0)),"")</f>
        <v>Procurement</v>
      </c>
      <c r="E36" s="16" t="s">
        <v>42</v>
      </c>
      <c r="F36" s="19">
        <v>0.390277777777778</v>
      </c>
      <c r="G36" s="19">
        <v>0.75694444444444398</v>
      </c>
      <c r="H36" s="16">
        <v>0</v>
      </c>
      <c r="I36" s="9"/>
      <c r="J36" s="16">
        <f t="shared" si="0"/>
        <v>8.8000000000000007</v>
      </c>
      <c r="K36" s="16" t="str">
        <f>IF(F36&lt;&gt;"",IF(F36&gt;Lists!$L$10,"Late","On Time"),"")</f>
        <v>On Time</v>
      </c>
      <c r="L36" s="16" t="str">
        <f>IF(G36&lt;&gt;"",IF(G36&lt;Lists!$L$11,"Early","On Time"),"")</f>
        <v>On Time</v>
      </c>
      <c r="M36" s="9" t="str">
        <f t="shared" si="1"/>
        <v>P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</row>
    <row r="37" spans="1:45" x14ac:dyDescent="0.3">
      <c r="A37" s="18">
        <v>46251</v>
      </c>
      <c r="B37" s="9" t="s">
        <v>314</v>
      </c>
      <c r="C37" s="9" t="str">
        <f>IFERROR(INDEX('Employee Master'!$B$10:$B$109,MATCH(B37,'Employee Master'!$A$10:$A$109,0)),"")</f>
        <v>Saravanan</v>
      </c>
      <c r="D37" s="9" t="str">
        <f>IFERROR(INDEX('Employee Master'!$H$10:$H$109,MATCH(B37,'Employee Master'!$A$10:$A$109,0)),"")</f>
        <v>Quality Control</v>
      </c>
      <c r="E37" s="16" t="s">
        <v>42</v>
      </c>
      <c r="F37" s="19">
        <v>0.37847222222222199</v>
      </c>
      <c r="G37" s="19">
        <v>0.76388888888888895</v>
      </c>
      <c r="H37" s="16">
        <v>0</v>
      </c>
      <c r="I37" s="9"/>
      <c r="J37" s="16">
        <f t="shared" si="0"/>
        <v>9.25</v>
      </c>
      <c r="K37" s="16" t="str">
        <f>IF(F37&lt;&gt;"",IF(F37&gt;Lists!$L$10,"Late","On Time"),"")</f>
        <v>On Time</v>
      </c>
      <c r="L37" s="16" t="str">
        <f>IF(G37&lt;&gt;"",IF(G37&lt;Lists!$L$11,"Early","On Time"),"")</f>
        <v>On Time</v>
      </c>
      <c r="M37" s="9" t="str">
        <f t="shared" si="1"/>
        <v>P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</row>
    <row r="38" spans="1:45" x14ac:dyDescent="0.3">
      <c r="A38" s="18">
        <v>46251</v>
      </c>
      <c r="B38" s="9" t="s">
        <v>315</v>
      </c>
      <c r="C38" s="9" t="str">
        <f>IFERROR(INDEX('Employee Master'!$B$10:$B$109,MATCH(B38,'Employee Master'!$A$10:$A$109,0)),"")</f>
        <v>Nandhini R</v>
      </c>
      <c r="D38" s="9" t="str">
        <f>IFERROR(INDEX('Employee Master'!$H$10:$H$109,MATCH(B38,'Employee Master'!$A$10:$A$109,0)),"")</f>
        <v>Maintenance</v>
      </c>
      <c r="E38" s="16" t="s">
        <v>42</v>
      </c>
      <c r="F38" s="19">
        <v>0.37847222222222199</v>
      </c>
      <c r="G38" s="19">
        <v>0.75694444444444398</v>
      </c>
      <c r="H38" s="16">
        <v>0</v>
      </c>
      <c r="I38" s="9"/>
      <c r="J38" s="16">
        <f t="shared" si="0"/>
        <v>9.08</v>
      </c>
      <c r="K38" s="16" t="str">
        <f>IF(F38&lt;&gt;"",IF(F38&gt;Lists!$L$10,"Late","On Time"),"")</f>
        <v>On Time</v>
      </c>
      <c r="L38" s="16" t="str">
        <f>IF(G38&lt;&gt;"",IF(G38&lt;Lists!$L$11,"Early","On Time"),"")</f>
        <v>On Time</v>
      </c>
      <c r="M38" s="9" t="str">
        <f t="shared" si="1"/>
        <v>P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</row>
    <row r="39" spans="1:45" x14ac:dyDescent="0.3">
      <c r="A39" s="18">
        <v>46251</v>
      </c>
      <c r="B39" s="9" t="s">
        <v>316</v>
      </c>
      <c r="C39" s="9" t="str">
        <f>IFERROR(INDEX('Employee Master'!$B$10:$B$109,MATCH(B39,'Employee Master'!$A$10:$A$109,0)),"")</f>
        <v>Kavitha R</v>
      </c>
      <c r="D39" s="9" t="str">
        <f>IFERROR(INDEX('Employee Master'!$H$10:$H$109,MATCH(B39,'Employee Master'!$A$10:$A$109,0)),"")</f>
        <v>Customer Support</v>
      </c>
      <c r="E39" s="16" t="s">
        <v>42</v>
      </c>
      <c r="F39" s="19">
        <v>0.390277777777778</v>
      </c>
      <c r="G39" s="19">
        <v>0.75694444444444398</v>
      </c>
      <c r="H39" s="16">
        <v>0</v>
      </c>
      <c r="I39" s="9"/>
      <c r="J39" s="16">
        <f t="shared" si="0"/>
        <v>8.8000000000000007</v>
      </c>
      <c r="K39" s="16" t="str">
        <f>IF(F39&lt;&gt;"",IF(F39&gt;Lists!$L$10,"Late","On Time"),"")</f>
        <v>On Time</v>
      </c>
      <c r="L39" s="16" t="str">
        <f>IF(G39&lt;&gt;"",IF(G39&lt;Lists!$L$11,"Early","On Time"),"")</f>
        <v>On Time</v>
      </c>
      <c r="M39" s="9" t="str">
        <f t="shared" si="1"/>
        <v>P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</row>
    <row r="40" spans="1:45" x14ac:dyDescent="0.3">
      <c r="A40" s="18">
        <v>46251</v>
      </c>
      <c r="B40" s="9" t="s">
        <v>317</v>
      </c>
      <c r="C40" s="9" t="str">
        <f>IFERROR(INDEX('Employee Master'!$B$10:$B$109,MATCH(B40,'Employee Master'!$A$10:$A$109,0)),"")</f>
        <v>Suresh K</v>
      </c>
      <c r="D40" s="9" t="str">
        <f>IFERROR(INDEX('Employee Master'!$H$10:$H$109,MATCH(B40,'Employee Master'!$A$10:$A$109,0)),"")</f>
        <v>Human Resources</v>
      </c>
      <c r="E40" s="16" t="s">
        <v>42</v>
      </c>
      <c r="F40" s="19">
        <v>0.38541666666666702</v>
      </c>
      <c r="G40" s="19">
        <v>0.75347222222222199</v>
      </c>
      <c r="H40" s="16">
        <v>0</v>
      </c>
      <c r="I40" s="9"/>
      <c r="J40" s="16">
        <f t="shared" si="0"/>
        <v>8.83</v>
      </c>
      <c r="K40" s="16" t="str">
        <f>IF(F40&lt;&gt;"",IF(F40&gt;Lists!$L$10,"Late","On Time"),"")</f>
        <v>On Time</v>
      </c>
      <c r="L40" s="16" t="str">
        <f>IF(G40&lt;&gt;"",IF(G40&lt;Lists!$L$11,"Early","On Time"),"")</f>
        <v>On Time</v>
      </c>
      <c r="M40" s="9" t="str">
        <f t="shared" si="1"/>
        <v>P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</row>
    <row r="41" spans="1:45" x14ac:dyDescent="0.3">
      <c r="A41" s="18">
        <v>46251</v>
      </c>
      <c r="B41" s="9" t="s">
        <v>318</v>
      </c>
      <c r="C41" s="9" t="str">
        <f>IFERROR(INDEX('Employee Master'!$B$10:$B$109,MATCH(B41,'Employee Master'!$A$10:$A$109,0)),"")</f>
        <v>Sathish M</v>
      </c>
      <c r="D41" s="9" t="str">
        <f>IFERROR(INDEX('Employee Master'!$H$10:$H$109,MATCH(B41,'Employee Master'!$A$10:$A$109,0)),"")</f>
        <v>Finance &amp; Accounts</v>
      </c>
      <c r="E41" s="16" t="s">
        <v>44</v>
      </c>
      <c r="F41" s="19"/>
      <c r="G41" s="19"/>
      <c r="H41" s="16">
        <v>0</v>
      </c>
      <c r="I41" s="9"/>
      <c r="J41" s="16" t="str">
        <f t="shared" si="0"/>
        <v/>
      </c>
      <c r="K41" s="16" t="str">
        <f>IF(F41&lt;&gt;"",IF(F41&gt;Lists!$L$10,"Late","On Time"),"")</f>
        <v/>
      </c>
      <c r="L41" s="16" t="str">
        <f>IF(G41&lt;&gt;"",IF(G41&lt;Lists!$L$11,"Early","On Time"),"")</f>
        <v/>
      </c>
      <c r="M41" s="9" t="str">
        <f t="shared" si="1"/>
        <v>A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</row>
    <row r="42" spans="1:45" x14ac:dyDescent="0.3">
      <c r="A42" s="18">
        <v>46251</v>
      </c>
      <c r="B42" s="9" t="s">
        <v>319</v>
      </c>
      <c r="C42" s="9" t="str">
        <f>IFERROR(INDEX('Employee Master'!$B$10:$B$109,MATCH(B42,'Employee Master'!$A$10:$A$109,0)),"")</f>
        <v>Selvam K</v>
      </c>
      <c r="D42" s="9" t="str">
        <f>IFERROR(INDEX('Employee Master'!$H$10:$H$109,MATCH(B42,'Employee Master'!$A$10:$A$109,0)),"")</f>
        <v>Administration</v>
      </c>
      <c r="E42" s="16" t="s">
        <v>42</v>
      </c>
      <c r="F42" s="19">
        <v>0.390277777777778</v>
      </c>
      <c r="G42" s="19">
        <v>0.75347222222222199</v>
      </c>
      <c r="H42" s="16">
        <v>0</v>
      </c>
      <c r="I42" s="9"/>
      <c r="J42" s="16">
        <f t="shared" si="0"/>
        <v>8.7200000000000006</v>
      </c>
      <c r="K42" s="16" t="str">
        <f>IF(F42&lt;&gt;"",IF(F42&gt;Lists!$L$10,"Late","On Time"),"")</f>
        <v>On Time</v>
      </c>
      <c r="L42" s="16" t="str">
        <f>IF(G42&lt;&gt;"",IF(G42&lt;Lists!$L$11,"Early","On Time"),"")</f>
        <v>On Time</v>
      </c>
      <c r="M42" s="9" t="str">
        <f t="shared" si="1"/>
        <v>P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</row>
    <row r="43" spans="1:45" x14ac:dyDescent="0.3">
      <c r="A43" s="18">
        <v>46251</v>
      </c>
      <c r="B43" s="9" t="s">
        <v>320</v>
      </c>
      <c r="C43" s="9" t="str">
        <f>IFERROR(INDEX('Employee Master'!$B$10:$B$109,MATCH(B43,'Employee Master'!$A$10:$A$109,0)),"")</f>
        <v>Revathi V</v>
      </c>
      <c r="D43" s="9" t="str">
        <f>IFERROR(INDEX('Employee Master'!$H$10:$H$109,MATCH(B43,'Employee Master'!$A$10:$A$109,0)),"")</f>
        <v>Operations</v>
      </c>
      <c r="E43" s="16" t="s">
        <v>42</v>
      </c>
      <c r="F43" s="19">
        <v>0.37847222222222199</v>
      </c>
      <c r="G43" s="19">
        <v>0.75694444444444398</v>
      </c>
      <c r="H43" s="16">
        <v>0</v>
      </c>
      <c r="I43" s="9"/>
      <c r="J43" s="16">
        <f t="shared" si="0"/>
        <v>9.08</v>
      </c>
      <c r="K43" s="16" t="str">
        <f>IF(F43&lt;&gt;"",IF(F43&gt;Lists!$L$10,"Late","On Time"),"")</f>
        <v>On Time</v>
      </c>
      <c r="L43" s="16" t="str">
        <f>IF(G43&lt;&gt;"",IF(G43&lt;Lists!$L$11,"Early","On Time"),"")</f>
        <v>On Time</v>
      </c>
      <c r="M43" s="9" t="str">
        <f t="shared" si="1"/>
        <v>P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</row>
    <row r="44" spans="1:45" x14ac:dyDescent="0.3">
      <c r="A44" s="18">
        <v>46252</v>
      </c>
      <c r="B44" s="9" t="s">
        <v>321</v>
      </c>
      <c r="C44" s="9" t="str">
        <f>IFERROR(INDEX('Employee Master'!$B$10:$B$109,MATCH(B44,'Employee Master'!$A$10:$A$109,0)),"")</f>
        <v>Naveen M</v>
      </c>
      <c r="D44" s="9" t="str">
        <f>IFERROR(INDEX('Employee Master'!$H$10:$H$109,MATCH(B44,'Employee Master'!$A$10:$A$109,0)),"")</f>
        <v>Sales &amp; Marketing</v>
      </c>
      <c r="E44" s="16" t="s">
        <v>42</v>
      </c>
      <c r="F44" s="19">
        <v>0.42013888888888901</v>
      </c>
      <c r="G44" s="19">
        <v>0.42013888888888901</v>
      </c>
      <c r="H44" s="16">
        <v>0</v>
      </c>
      <c r="I44" s="9"/>
      <c r="J44" s="16">
        <f t="shared" si="0"/>
        <v>0</v>
      </c>
      <c r="K44" s="16" t="str">
        <f>IF(F44&lt;&gt;"",IF(F44&gt;Lists!$L$10,"Late","On Time"),"")</f>
        <v>Late</v>
      </c>
      <c r="L44" s="16" t="str">
        <f>IF(G44&lt;&gt;"",IF(G44&lt;Lists!$L$11,"Early","On Time"),"")</f>
        <v>Early</v>
      </c>
      <c r="M44" s="9" t="str">
        <f t="shared" si="1"/>
        <v>P +Late +Early Exit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</row>
    <row r="45" spans="1:45" x14ac:dyDescent="0.3">
      <c r="A45" s="18">
        <v>46252</v>
      </c>
      <c r="B45" s="9" t="s">
        <v>322</v>
      </c>
      <c r="C45" s="9" t="str">
        <f>IFERROR(INDEX('Employee Master'!$B$10:$B$109,MATCH(B45,'Employee Master'!$A$10:$A$109,0)),"")</f>
        <v>Kavitha K</v>
      </c>
      <c r="D45" s="9" t="str">
        <f>IFERROR(INDEX('Employee Master'!$H$10:$H$109,MATCH(B45,'Employee Master'!$A$10:$A$109,0)),"")</f>
        <v>IT &amp; Systems</v>
      </c>
      <c r="E45" s="16" t="s">
        <v>42</v>
      </c>
      <c r="F45" s="19">
        <v>0.37847222222222199</v>
      </c>
      <c r="G45" s="19">
        <v>0.77430555555555602</v>
      </c>
      <c r="H45" s="16">
        <v>0</v>
      </c>
      <c r="I45" s="9"/>
      <c r="J45" s="16">
        <f t="shared" si="0"/>
        <v>9.5</v>
      </c>
      <c r="K45" s="16" t="str">
        <f>IF(F45&lt;&gt;"",IF(F45&gt;Lists!$L$10,"Late","On Time"),"")</f>
        <v>On Time</v>
      </c>
      <c r="L45" s="16" t="str">
        <f>IF(G45&lt;&gt;"",IF(G45&lt;Lists!$L$11,"Early","On Time"),"")</f>
        <v>On Time</v>
      </c>
      <c r="M45" s="9" t="str">
        <f t="shared" si="1"/>
        <v>P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</row>
    <row r="46" spans="1:45" x14ac:dyDescent="0.3">
      <c r="A46" s="18">
        <v>46252</v>
      </c>
      <c r="B46" s="9" t="s">
        <v>339</v>
      </c>
      <c r="C46" s="9" t="str">
        <f>IFERROR(INDEX('Employee Master'!$B$10:$B$109,MATCH(B46,'Employee Master'!$A$10:$A$109,0)),"")</f>
        <v/>
      </c>
      <c r="D46" s="9" t="str">
        <f>IFERROR(INDEX('Employee Master'!$H$10:$H$109,MATCH(B46,'Employee Master'!$A$10:$A$109,0)),"")</f>
        <v/>
      </c>
      <c r="E46" s="16" t="s">
        <v>42</v>
      </c>
      <c r="F46" s="19">
        <v>0.38194444444444398</v>
      </c>
      <c r="G46" s="19">
        <v>0.77430555555555602</v>
      </c>
      <c r="H46" s="16">
        <v>0</v>
      </c>
      <c r="I46" s="9"/>
      <c r="J46" s="16">
        <f t="shared" si="0"/>
        <v>9.42</v>
      </c>
      <c r="K46" s="16" t="str">
        <f>IF(F46&lt;&gt;"",IF(F46&gt;Lists!$L$10,"Late","On Time"),"")</f>
        <v>On Time</v>
      </c>
      <c r="L46" s="16" t="str">
        <f>IF(G46&lt;&gt;"",IF(G46&lt;Lists!$L$11,"Early","On Time"),"")</f>
        <v>On Time</v>
      </c>
      <c r="M46" s="9" t="str">
        <f t="shared" si="1"/>
        <v>P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</row>
    <row r="47" spans="1:45" x14ac:dyDescent="0.3">
      <c r="A47" s="18">
        <v>46252</v>
      </c>
      <c r="B47" s="9" t="s">
        <v>340</v>
      </c>
      <c r="C47" s="9" t="str">
        <f>IFERROR(INDEX('Employee Master'!$B$10:$B$109,MATCH(B47,'Employee Master'!$A$10:$A$109,0)),"")</f>
        <v/>
      </c>
      <c r="D47" s="9" t="str">
        <f>IFERROR(INDEX('Employee Master'!$H$10:$H$109,MATCH(B47,'Employee Master'!$A$10:$A$109,0)),"")</f>
        <v/>
      </c>
      <c r="E47" s="16" t="s">
        <v>42</v>
      </c>
      <c r="F47" s="19">
        <v>0.38750000000000001</v>
      </c>
      <c r="G47" s="19">
        <v>0.75347222222222199</v>
      </c>
      <c r="H47" s="16">
        <v>0</v>
      </c>
      <c r="I47" s="9"/>
      <c r="J47" s="16">
        <f t="shared" si="0"/>
        <v>8.7799999999999994</v>
      </c>
      <c r="K47" s="16" t="str">
        <f>IF(F47&lt;&gt;"",IF(F47&gt;Lists!$L$10,"Late","On Time"),"")</f>
        <v>On Time</v>
      </c>
      <c r="L47" s="16" t="str">
        <f>IF(G47&lt;&gt;"",IF(G47&lt;Lists!$L$11,"Early","On Time"),"")</f>
        <v>On Time</v>
      </c>
      <c r="M47" s="9" t="str">
        <f t="shared" si="1"/>
        <v>P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</row>
    <row r="48" spans="1:45" x14ac:dyDescent="0.3">
      <c r="A48" s="18">
        <v>46252</v>
      </c>
      <c r="B48" s="9" t="s">
        <v>341</v>
      </c>
      <c r="C48" s="9" t="str">
        <f>IFERROR(INDEX('Employee Master'!$B$10:$B$109,MATCH(B48,'Employee Master'!$A$10:$A$109,0)),"")</f>
        <v/>
      </c>
      <c r="D48" s="9" t="str">
        <f>IFERROR(INDEX('Employee Master'!$H$10:$H$109,MATCH(B48,'Employee Master'!$A$10:$A$109,0)),"")</f>
        <v/>
      </c>
      <c r="E48" s="16" t="s">
        <v>42</v>
      </c>
      <c r="F48" s="19">
        <v>0.38194444444444398</v>
      </c>
      <c r="G48" s="19">
        <v>0.75</v>
      </c>
      <c r="H48" s="16">
        <v>0</v>
      </c>
      <c r="I48" s="9"/>
      <c r="J48" s="16">
        <f t="shared" si="0"/>
        <v>8.83</v>
      </c>
      <c r="K48" s="16" t="str">
        <f>IF(F48&lt;&gt;"",IF(F48&gt;Lists!$L$10,"Late","On Time"),"")</f>
        <v>On Time</v>
      </c>
      <c r="L48" s="16" t="str">
        <f>IF(G48&lt;&gt;"",IF(G48&lt;Lists!$L$11,"Early","On Time"),"")</f>
        <v>On Time</v>
      </c>
      <c r="M48" s="9" t="str">
        <f t="shared" si="1"/>
        <v>P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</row>
    <row r="49" spans="1:45" x14ac:dyDescent="0.3">
      <c r="A49" s="18">
        <v>46252</v>
      </c>
      <c r="B49" s="9" t="s">
        <v>342</v>
      </c>
      <c r="C49" s="9" t="str">
        <f>IFERROR(INDEX('Employee Master'!$B$10:$B$109,MATCH(B49,'Employee Master'!$A$10:$A$109,0)),"")</f>
        <v/>
      </c>
      <c r="D49" s="9" t="str">
        <f>IFERROR(INDEX('Employee Master'!$H$10:$H$109,MATCH(B49,'Employee Master'!$A$10:$A$109,0)),"")</f>
        <v/>
      </c>
      <c r="E49" s="16" t="s">
        <v>42</v>
      </c>
      <c r="F49" s="19">
        <v>0.390277777777778</v>
      </c>
      <c r="G49" s="19">
        <v>0.76388888888888895</v>
      </c>
      <c r="H49" s="16">
        <v>0</v>
      </c>
      <c r="I49" s="9"/>
      <c r="J49" s="16">
        <f t="shared" si="0"/>
        <v>8.9700000000000006</v>
      </c>
      <c r="K49" s="16" t="str">
        <f>IF(F49&lt;&gt;"",IF(F49&gt;Lists!$L$10,"Late","On Time"),"")</f>
        <v>On Time</v>
      </c>
      <c r="L49" s="16" t="str">
        <f>IF(G49&lt;&gt;"",IF(G49&lt;Lists!$L$11,"Early","On Time"),"")</f>
        <v>On Time</v>
      </c>
      <c r="M49" s="9" t="str">
        <f t="shared" si="1"/>
        <v>P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</row>
    <row r="50" spans="1:45" x14ac:dyDescent="0.3">
      <c r="A50" s="18">
        <v>46252</v>
      </c>
      <c r="B50" s="9" t="s">
        <v>343</v>
      </c>
      <c r="C50" s="9" t="str">
        <f>IFERROR(INDEX('Employee Master'!$B$10:$B$109,MATCH(B50,'Employee Master'!$A$10:$A$109,0)),"")</f>
        <v/>
      </c>
      <c r="D50" s="9" t="str">
        <f>IFERROR(INDEX('Employee Master'!$H$10:$H$109,MATCH(B50,'Employee Master'!$A$10:$A$109,0)),"")</f>
        <v/>
      </c>
      <c r="E50" s="16" t="s">
        <v>42</v>
      </c>
      <c r="F50" s="19">
        <v>0.38194444444444398</v>
      </c>
      <c r="G50" s="19">
        <v>0.77430555555555602</v>
      </c>
      <c r="H50" s="16">
        <v>0</v>
      </c>
      <c r="I50" s="9"/>
      <c r="J50" s="16">
        <f t="shared" si="0"/>
        <v>9.42</v>
      </c>
      <c r="K50" s="16" t="str">
        <f>IF(F50&lt;&gt;"",IF(F50&gt;Lists!$L$10,"Late","On Time"),"")</f>
        <v>On Time</v>
      </c>
      <c r="L50" s="16" t="str">
        <f>IF(G50&lt;&gt;"",IF(G50&lt;Lists!$L$11,"Early","On Time"),"")</f>
        <v>On Time</v>
      </c>
      <c r="M50" s="9" t="str">
        <f t="shared" si="1"/>
        <v>P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45" x14ac:dyDescent="0.3">
      <c r="A51" s="18">
        <v>46252</v>
      </c>
      <c r="B51" s="9" t="s">
        <v>344</v>
      </c>
      <c r="C51" s="9" t="str">
        <f>IFERROR(INDEX('Employee Master'!$B$10:$B$109,MATCH(B51,'Employee Master'!$A$10:$A$109,0)),"")</f>
        <v/>
      </c>
      <c r="D51" s="9" t="str">
        <f>IFERROR(INDEX('Employee Master'!$H$10:$H$109,MATCH(B51,'Employee Master'!$A$10:$A$109,0)),"")</f>
        <v/>
      </c>
      <c r="E51" s="16" t="s">
        <v>42</v>
      </c>
      <c r="F51" s="19">
        <v>0.37847222222222199</v>
      </c>
      <c r="G51" s="19">
        <v>0.77430555555555602</v>
      </c>
      <c r="H51" s="16">
        <v>0</v>
      </c>
      <c r="I51" s="9"/>
      <c r="J51" s="16">
        <f t="shared" si="0"/>
        <v>9.5</v>
      </c>
      <c r="K51" s="16" t="str">
        <f>IF(F51&lt;&gt;"",IF(F51&gt;Lists!$L$10,"Late","On Time"),"")</f>
        <v>On Time</v>
      </c>
      <c r="L51" s="16" t="str">
        <f>IF(G51&lt;&gt;"",IF(G51&lt;Lists!$L$11,"Early","On Time"),"")</f>
        <v>On Time</v>
      </c>
      <c r="M51" s="9" t="str">
        <f t="shared" si="1"/>
        <v>P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</row>
    <row r="52" spans="1:45" x14ac:dyDescent="0.3">
      <c r="A52" s="18">
        <v>46252</v>
      </c>
      <c r="B52" s="9" t="s">
        <v>345</v>
      </c>
      <c r="C52" s="9" t="str">
        <f>IFERROR(INDEX('Employee Master'!$B$10:$B$109,MATCH(B52,'Employee Master'!$A$10:$A$109,0)),"")</f>
        <v/>
      </c>
      <c r="D52" s="9" t="str">
        <f>IFERROR(INDEX('Employee Master'!$H$10:$H$109,MATCH(B52,'Employee Master'!$A$10:$A$109,0)),"")</f>
        <v/>
      </c>
      <c r="E52" s="16" t="s">
        <v>42</v>
      </c>
      <c r="F52" s="19">
        <v>0.39236111111111099</v>
      </c>
      <c r="G52" s="19">
        <v>0.75347222222222199</v>
      </c>
      <c r="H52" s="16">
        <v>1</v>
      </c>
      <c r="I52" s="9"/>
      <c r="J52" s="16">
        <f t="shared" si="0"/>
        <v>8.67</v>
      </c>
      <c r="K52" s="16" t="str">
        <f>IF(F52&lt;&gt;"",IF(F52&gt;Lists!$L$10,"Late","On Time"),"")</f>
        <v>On Time</v>
      </c>
      <c r="L52" s="16" t="str">
        <f>IF(G52&lt;&gt;"",IF(G52&lt;Lists!$L$11,"Early","On Time"),"")</f>
        <v>On Time</v>
      </c>
      <c r="M52" s="9" t="str">
        <f t="shared" si="1"/>
        <v>P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</row>
    <row r="53" spans="1:45" x14ac:dyDescent="0.3">
      <c r="A53" s="18">
        <v>46252</v>
      </c>
      <c r="B53" s="9" t="s">
        <v>346</v>
      </c>
      <c r="C53" s="9" t="str">
        <f>IFERROR(INDEX('Employee Master'!$B$10:$B$109,MATCH(B53,'Employee Master'!$A$10:$A$109,0)),"")</f>
        <v/>
      </c>
      <c r="D53" s="9" t="str">
        <f>IFERROR(INDEX('Employee Master'!$H$10:$H$109,MATCH(B53,'Employee Master'!$A$10:$A$109,0)),"")</f>
        <v/>
      </c>
      <c r="E53" s="16" t="s">
        <v>42</v>
      </c>
      <c r="F53" s="19">
        <v>0.42708333333333298</v>
      </c>
      <c r="G53" s="19">
        <v>0.42013888888888901</v>
      </c>
      <c r="H53" s="16">
        <v>0</v>
      </c>
      <c r="I53" s="9"/>
      <c r="J53" s="16">
        <f t="shared" si="0"/>
        <v>-0.17</v>
      </c>
      <c r="K53" s="16" t="str">
        <f>IF(F53&lt;&gt;"",IF(F53&gt;Lists!$L$10,"Late","On Time"),"")</f>
        <v>Late</v>
      </c>
      <c r="L53" s="16" t="str">
        <f>IF(G53&lt;&gt;"",IF(G53&lt;Lists!$L$11,"Early","On Time"),"")</f>
        <v>Early</v>
      </c>
      <c r="M53" s="9" t="str">
        <f t="shared" si="1"/>
        <v>P +Late +Early Exit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</row>
    <row r="54" spans="1:45" x14ac:dyDescent="0.3">
      <c r="A54" s="18">
        <v>46252</v>
      </c>
      <c r="B54" s="9" t="s">
        <v>347</v>
      </c>
      <c r="C54" s="9" t="str">
        <f>IFERROR(INDEX('Employee Master'!$B$10:$B$109,MATCH(B54,'Employee Master'!$A$10:$A$109,0)),"")</f>
        <v/>
      </c>
      <c r="D54" s="9" t="str">
        <f>IFERROR(INDEX('Employee Master'!$H$10:$H$109,MATCH(B54,'Employee Master'!$A$10:$A$109,0)),"")</f>
        <v/>
      </c>
      <c r="E54" s="16" t="s">
        <v>42</v>
      </c>
      <c r="F54" s="19">
        <v>0.39236111111111099</v>
      </c>
      <c r="G54" s="19">
        <v>0.77430555555555602</v>
      </c>
      <c r="H54" s="16">
        <v>0</v>
      </c>
      <c r="I54" s="9"/>
      <c r="J54" s="16">
        <f t="shared" si="0"/>
        <v>9.17</v>
      </c>
      <c r="K54" s="16" t="str">
        <f>IF(F54&lt;&gt;"",IF(F54&gt;Lists!$L$10,"Late","On Time"),"")</f>
        <v>On Time</v>
      </c>
      <c r="L54" s="16" t="str">
        <f>IF(G54&lt;&gt;"",IF(G54&lt;Lists!$L$11,"Early","On Time"),"")</f>
        <v>On Time</v>
      </c>
      <c r="M54" s="9" t="str">
        <f t="shared" si="1"/>
        <v>P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</row>
    <row r="55" spans="1:45" x14ac:dyDescent="0.3">
      <c r="A55" s="18">
        <v>46252</v>
      </c>
      <c r="B55" s="9" t="s">
        <v>348</v>
      </c>
      <c r="C55" s="9" t="str">
        <f>IFERROR(INDEX('Employee Master'!$B$10:$B$109,MATCH(B55,'Employee Master'!$A$10:$A$109,0)),"")</f>
        <v/>
      </c>
      <c r="D55" s="9" t="str">
        <f>IFERROR(INDEX('Employee Master'!$H$10:$H$109,MATCH(B55,'Employee Master'!$A$10:$A$109,0)),"")</f>
        <v/>
      </c>
      <c r="E55" s="16" t="s">
        <v>42</v>
      </c>
      <c r="F55" s="19">
        <v>0.37847222222222199</v>
      </c>
      <c r="G55" s="19">
        <v>0.76388888888888895</v>
      </c>
      <c r="H55" s="16">
        <v>0</v>
      </c>
      <c r="I55" s="9"/>
      <c r="J55" s="16">
        <f t="shared" si="0"/>
        <v>9.25</v>
      </c>
      <c r="K55" s="16" t="str">
        <f>IF(F55&lt;&gt;"",IF(F55&gt;Lists!$L$10,"Late","On Time"),"")</f>
        <v>On Time</v>
      </c>
      <c r="L55" s="16" t="str">
        <f>IF(G55&lt;&gt;"",IF(G55&lt;Lists!$L$11,"Early","On Time"),"")</f>
        <v>On Time</v>
      </c>
      <c r="M55" s="9" t="str">
        <f t="shared" si="1"/>
        <v>P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</row>
    <row r="56" spans="1:45" x14ac:dyDescent="0.3">
      <c r="A56" s="18">
        <v>46252</v>
      </c>
      <c r="B56" s="9" t="s">
        <v>349</v>
      </c>
      <c r="C56" s="9" t="str">
        <f>IFERROR(INDEX('Employee Master'!$B$10:$B$109,MATCH(B56,'Employee Master'!$A$10:$A$109,0)),"")</f>
        <v/>
      </c>
      <c r="D56" s="9" t="str">
        <f>IFERROR(INDEX('Employee Master'!$H$10:$H$109,MATCH(B56,'Employee Master'!$A$10:$A$109,0)),"")</f>
        <v/>
      </c>
      <c r="E56" s="16" t="s">
        <v>42</v>
      </c>
      <c r="F56" s="19">
        <v>0.390277777777778</v>
      </c>
      <c r="G56" s="19">
        <v>0.77430555555555602</v>
      </c>
      <c r="H56" s="16">
        <v>3</v>
      </c>
      <c r="I56" s="9"/>
      <c r="J56" s="16">
        <f t="shared" si="0"/>
        <v>9.2200000000000006</v>
      </c>
      <c r="K56" s="16" t="str">
        <f>IF(F56&lt;&gt;"",IF(F56&gt;Lists!$L$10,"Late","On Time"),"")</f>
        <v>On Time</v>
      </c>
      <c r="L56" s="16" t="str">
        <f>IF(G56&lt;&gt;"",IF(G56&lt;Lists!$L$11,"Early","On Time"),"")</f>
        <v>On Time</v>
      </c>
      <c r="M56" s="9" t="str">
        <f t="shared" si="1"/>
        <v>P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</row>
    <row r="57" spans="1:45" x14ac:dyDescent="0.3">
      <c r="A57" s="18">
        <v>46252</v>
      </c>
      <c r="B57" s="9" t="s">
        <v>350</v>
      </c>
      <c r="C57" s="9" t="str">
        <f>IFERROR(INDEX('Employee Master'!$B$10:$B$109,MATCH(B57,'Employee Master'!$A$10:$A$109,0)),"")</f>
        <v/>
      </c>
      <c r="D57" s="9" t="str">
        <f>IFERROR(INDEX('Employee Master'!$H$10:$H$109,MATCH(B57,'Employee Master'!$A$10:$A$109,0)),"")</f>
        <v/>
      </c>
      <c r="E57" s="16" t="s">
        <v>46</v>
      </c>
      <c r="F57" s="19"/>
      <c r="G57" s="19"/>
      <c r="H57" s="16">
        <v>0</v>
      </c>
      <c r="I57" s="9"/>
      <c r="J57" s="16" t="str">
        <f t="shared" si="0"/>
        <v/>
      </c>
      <c r="K57" s="16" t="str">
        <f>IF(F57&lt;&gt;"",IF(F57&gt;Lists!$L$10,"Late","On Time"),"")</f>
        <v/>
      </c>
      <c r="L57" s="16" t="str">
        <f>IF(G57&lt;&gt;"",IF(G57&lt;Lists!$L$11,"Early","On Time"),"")</f>
        <v/>
      </c>
      <c r="M57" s="9" t="str">
        <f t="shared" si="1"/>
        <v>WO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</row>
    <row r="58" spans="1:45" x14ac:dyDescent="0.3">
      <c r="A58" s="18">
        <v>46252</v>
      </c>
      <c r="B58" s="9" t="s">
        <v>351</v>
      </c>
      <c r="C58" s="9" t="str">
        <f>IFERROR(INDEX('Employee Master'!$B$10:$B$109,MATCH(B58,'Employee Master'!$A$10:$A$109,0)),"")</f>
        <v/>
      </c>
      <c r="D58" s="9" t="str">
        <f>IFERROR(INDEX('Employee Master'!$H$10:$H$109,MATCH(B58,'Employee Master'!$A$10:$A$109,0)),"")</f>
        <v/>
      </c>
      <c r="E58" s="16" t="s">
        <v>42</v>
      </c>
      <c r="F58" s="19">
        <v>0.37847222222222199</v>
      </c>
      <c r="G58" s="19">
        <v>0.75694444444444398</v>
      </c>
      <c r="H58" s="16">
        <v>0</v>
      </c>
      <c r="I58" s="9"/>
      <c r="J58" s="16">
        <f t="shared" si="0"/>
        <v>9.08</v>
      </c>
      <c r="K58" s="16" t="str">
        <f>IF(F58&lt;&gt;"",IF(F58&gt;Lists!$L$10,"Late","On Time"),"")</f>
        <v>On Time</v>
      </c>
      <c r="L58" s="16" t="str">
        <f>IF(G58&lt;&gt;"",IF(G58&lt;Lists!$L$11,"Early","On Time"),"")</f>
        <v>On Time</v>
      </c>
      <c r="M58" s="9" t="str">
        <f t="shared" si="1"/>
        <v>P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</row>
    <row r="59" spans="1:45" x14ac:dyDescent="0.3">
      <c r="A59" s="18">
        <v>46252</v>
      </c>
      <c r="B59" s="9" t="s">
        <v>352</v>
      </c>
      <c r="C59" s="9" t="str">
        <f>IFERROR(INDEX('Employee Master'!$B$10:$B$109,MATCH(B59,'Employee Master'!$A$10:$A$109,0)),"")</f>
        <v/>
      </c>
      <c r="D59" s="9" t="str">
        <f>IFERROR(INDEX('Employee Master'!$H$10:$H$109,MATCH(B59,'Employee Master'!$A$10:$A$109,0)),"")</f>
        <v/>
      </c>
      <c r="E59" s="16" t="s">
        <v>42</v>
      </c>
      <c r="F59" s="19">
        <v>0.38194444444444398</v>
      </c>
      <c r="G59" s="19">
        <v>0.76388888888888895</v>
      </c>
      <c r="H59" s="16">
        <v>0</v>
      </c>
      <c r="I59" s="9"/>
      <c r="J59" s="16">
        <f t="shared" si="0"/>
        <v>9.17</v>
      </c>
      <c r="K59" s="16" t="str">
        <f>IF(F59&lt;&gt;"",IF(F59&gt;Lists!$L$10,"Late","On Time"),"")</f>
        <v>On Time</v>
      </c>
      <c r="L59" s="16" t="str">
        <f>IF(G59&lt;&gt;"",IF(G59&lt;Lists!$L$11,"Early","On Time"),"")</f>
        <v>On Time</v>
      </c>
      <c r="M59" s="9" t="str">
        <f t="shared" si="1"/>
        <v>P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</row>
    <row r="60" spans="1:45" x14ac:dyDescent="0.3">
      <c r="A60" s="18">
        <v>46252</v>
      </c>
      <c r="B60" s="9" t="s">
        <v>353</v>
      </c>
      <c r="C60" s="9" t="str">
        <f>IFERROR(INDEX('Employee Master'!$B$10:$B$109,MATCH(B60,'Employee Master'!$A$10:$A$109,0)),"")</f>
        <v/>
      </c>
      <c r="D60" s="9" t="str">
        <f>IFERROR(INDEX('Employee Master'!$H$10:$H$109,MATCH(B60,'Employee Master'!$A$10:$A$109,0)),"")</f>
        <v/>
      </c>
      <c r="E60" s="16" t="s">
        <v>42</v>
      </c>
      <c r="F60" s="19">
        <v>0.38750000000000001</v>
      </c>
      <c r="G60" s="19">
        <v>0.75694444444444398</v>
      </c>
      <c r="H60" s="16">
        <v>0</v>
      </c>
      <c r="I60" s="9"/>
      <c r="J60" s="16">
        <f t="shared" si="0"/>
        <v>8.8699999999999992</v>
      </c>
      <c r="K60" s="16" t="str">
        <f>IF(F60&lt;&gt;"",IF(F60&gt;Lists!$L$10,"Late","On Time"),"")</f>
        <v>On Time</v>
      </c>
      <c r="L60" s="16" t="str">
        <f>IF(G60&lt;&gt;"",IF(G60&lt;Lists!$L$11,"Early","On Time"),"")</f>
        <v>On Time</v>
      </c>
      <c r="M60" s="9" t="str">
        <f t="shared" si="1"/>
        <v>P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</row>
    <row r="61" spans="1:45" x14ac:dyDescent="0.3">
      <c r="A61" s="18">
        <v>46252</v>
      </c>
      <c r="B61" s="9" t="s">
        <v>354</v>
      </c>
      <c r="C61" s="9" t="str">
        <f>IFERROR(INDEX('Employee Master'!$B$10:$B$109,MATCH(B61,'Employee Master'!$A$10:$A$109,0)),"")</f>
        <v/>
      </c>
      <c r="D61" s="9" t="str">
        <f>IFERROR(INDEX('Employee Master'!$H$10:$H$109,MATCH(B61,'Employee Master'!$A$10:$A$109,0)),"")</f>
        <v/>
      </c>
      <c r="E61" s="16" t="s">
        <v>42</v>
      </c>
      <c r="F61" s="19">
        <v>0.39236111111111099</v>
      </c>
      <c r="G61" s="19">
        <v>0.75347222222222199</v>
      </c>
      <c r="H61" s="16">
        <v>1.5</v>
      </c>
      <c r="I61" s="9"/>
      <c r="J61" s="16">
        <f t="shared" si="0"/>
        <v>8.67</v>
      </c>
      <c r="K61" s="16" t="str">
        <f>IF(F61&lt;&gt;"",IF(F61&gt;Lists!$L$10,"Late","On Time"),"")</f>
        <v>On Time</v>
      </c>
      <c r="L61" s="16" t="str">
        <f>IF(G61&lt;&gt;"",IF(G61&lt;Lists!$L$11,"Early","On Time"),"")</f>
        <v>On Time</v>
      </c>
      <c r="M61" s="9" t="str">
        <f t="shared" si="1"/>
        <v>P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</row>
    <row r="62" spans="1:45" x14ac:dyDescent="0.3">
      <c r="A62" s="18">
        <v>46252</v>
      </c>
      <c r="B62" s="9" t="s">
        <v>355</v>
      </c>
      <c r="C62" s="9" t="str">
        <f>IFERROR(INDEX('Employee Master'!$B$10:$B$109,MATCH(B62,'Employee Master'!$A$10:$A$109,0)),"")</f>
        <v/>
      </c>
      <c r="D62" s="9" t="str">
        <f>IFERROR(INDEX('Employee Master'!$H$10:$H$109,MATCH(B62,'Employee Master'!$A$10:$A$109,0)),"")</f>
        <v/>
      </c>
      <c r="E62" s="16" t="s">
        <v>42</v>
      </c>
      <c r="F62" s="19">
        <v>0.39236111111111099</v>
      </c>
      <c r="G62" s="19">
        <v>0.75694444444444398</v>
      </c>
      <c r="H62" s="16">
        <v>0</v>
      </c>
      <c r="I62" s="9"/>
      <c r="J62" s="16">
        <f t="shared" si="0"/>
        <v>8.75</v>
      </c>
      <c r="K62" s="16" t="str">
        <f>IF(F62&lt;&gt;"",IF(F62&gt;Lists!$L$10,"Late","On Time"),"")</f>
        <v>On Time</v>
      </c>
      <c r="L62" s="16" t="str">
        <f>IF(G62&lt;&gt;"",IF(G62&lt;Lists!$L$11,"Early","On Time"),"")</f>
        <v>On Time</v>
      </c>
      <c r="M62" s="9" t="str">
        <f t="shared" si="1"/>
        <v>P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</row>
    <row r="63" spans="1:45" x14ac:dyDescent="0.3">
      <c r="A63" s="18">
        <v>46252</v>
      </c>
      <c r="B63" s="9" t="s">
        <v>356</v>
      </c>
      <c r="C63" s="9" t="str">
        <f>IFERROR(INDEX('Employee Master'!$B$10:$B$109,MATCH(B63,'Employee Master'!$A$10:$A$109,0)),"")</f>
        <v/>
      </c>
      <c r="D63" s="9" t="str">
        <f>IFERROR(INDEX('Employee Master'!$H$10:$H$109,MATCH(B63,'Employee Master'!$A$10:$A$109,0)),"")</f>
        <v/>
      </c>
      <c r="E63" s="16" t="s">
        <v>42</v>
      </c>
      <c r="F63" s="19">
        <v>0.42708333333333298</v>
      </c>
      <c r="G63" s="19">
        <v>0.42013888888888901</v>
      </c>
      <c r="H63" s="16">
        <v>0</v>
      </c>
      <c r="I63" s="9"/>
      <c r="J63" s="16">
        <f t="shared" si="0"/>
        <v>-0.17</v>
      </c>
      <c r="K63" s="16" t="str">
        <f>IF(F63&lt;&gt;"",IF(F63&gt;Lists!$L$10,"Late","On Time"),"")</f>
        <v>Late</v>
      </c>
      <c r="L63" s="16" t="str">
        <f>IF(G63&lt;&gt;"",IF(G63&lt;Lists!$L$11,"Early","On Time"),"")</f>
        <v>Early</v>
      </c>
      <c r="M63" s="9" t="str">
        <f t="shared" si="1"/>
        <v>P +Late +Early Exit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</row>
    <row r="64" spans="1:45" x14ac:dyDescent="0.3">
      <c r="A64" s="18">
        <v>46252</v>
      </c>
      <c r="B64" s="9" t="s">
        <v>357</v>
      </c>
      <c r="C64" s="9" t="str">
        <f>IFERROR(INDEX('Employee Master'!$B$10:$B$109,MATCH(B64,'Employee Master'!$A$10:$A$109,0)),"")</f>
        <v/>
      </c>
      <c r="D64" s="9" t="str">
        <f>IFERROR(INDEX('Employee Master'!$H$10:$H$109,MATCH(B64,'Employee Master'!$A$10:$A$109,0)),"")</f>
        <v/>
      </c>
      <c r="E64" s="16" t="s">
        <v>48</v>
      </c>
      <c r="F64" s="19">
        <v>0.38194444444444398</v>
      </c>
      <c r="G64" s="19">
        <v>0.5625</v>
      </c>
      <c r="H64" s="16">
        <v>0</v>
      </c>
      <c r="I64" s="9"/>
      <c r="J64" s="16">
        <f t="shared" si="0"/>
        <v>4.33</v>
      </c>
      <c r="K64" s="16" t="str">
        <f>IF(F64&lt;&gt;"",IF(F64&gt;Lists!$L$10,"Late","On Time"),"")</f>
        <v>On Time</v>
      </c>
      <c r="L64" s="16" t="str">
        <f>IF(G64&lt;&gt;"",IF(G64&lt;Lists!$L$11,"Early","On Time"),"")</f>
        <v>Early</v>
      </c>
      <c r="M64" s="9" t="str">
        <f t="shared" si="1"/>
        <v>HD +Early Exit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</row>
    <row r="65" spans="1:45" x14ac:dyDescent="0.3">
      <c r="A65" s="18">
        <v>46252</v>
      </c>
      <c r="B65" s="9" t="s">
        <v>358</v>
      </c>
      <c r="C65" s="9" t="str">
        <f>IFERROR(INDEX('Employee Master'!$B$10:$B$109,MATCH(B65,'Employee Master'!$A$10:$A$109,0)),"")</f>
        <v/>
      </c>
      <c r="D65" s="9" t="str">
        <f>IFERROR(INDEX('Employee Master'!$H$10:$H$109,MATCH(B65,'Employee Master'!$A$10:$A$109,0)),"")</f>
        <v/>
      </c>
      <c r="E65" s="16" t="s">
        <v>42</v>
      </c>
      <c r="F65" s="19">
        <v>0.390277777777778</v>
      </c>
      <c r="G65" s="19">
        <v>0.75694444444444398</v>
      </c>
      <c r="H65" s="16">
        <v>0</v>
      </c>
      <c r="I65" s="9"/>
      <c r="J65" s="16">
        <f t="shared" si="0"/>
        <v>8.8000000000000007</v>
      </c>
      <c r="K65" s="16" t="str">
        <f>IF(F65&lt;&gt;"",IF(F65&gt;Lists!$L$10,"Late","On Time"),"")</f>
        <v>On Time</v>
      </c>
      <c r="L65" s="16" t="str">
        <f>IF(G65&lt;&gt;"",IF(G65&lt;Lists!$L$11,"Early","On Time"),"")</f>
        <v>On Time</v>
      </c>
      <c r="M65" s="9" t="str">
        <f t="shared" si="1"/>
        <v>P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</row>
    <row r="66" spans="1:45" x14ac:dyDescent="0.3">
      <c r="A66" s="18">
        <v>46252</v>
      </c>
      <c r="B66" s="9" t="s">
        <v>359</v>
      </c>
      <c r="C66" s="9" t="str">
        <f>IFERROR(INDEX('Employee Master'!$B$10:$B$109,MATCH(B66,'Employee Master'!$A$10:$A$109,0)),"")</f>
        <v/>
      </c>
      <c r="D66" s="9" t="str">
        <f>IFERROR(INDEX('Employee Master'!$H$10:$H$109,MATCH(B66,'Employee Master'!$A$10:$A$109,0)),"")</f>
        <v/>
      </c>
      <c r="E66" s="16" t="s">
        <v>42</v>
      </c>
      <c r="F66" s="19">
        <v>0.37847222222222199</v>
      </c>
      <c r="G66" s="19">
        <v>0.77430555555555602</v>
      </c>
      <c r="H66" s="16">
        <v>0</v>
      </c>
      <c r="I66" s="9"/>
      <c r="J66" s="16">
        <f t="shared" si="0"/>
        <v>9.5</v>
      </c>
      <c r="K66" s="16" t="str">
        <f>IF(F66&lt;&gt;"",IF(F66&gt;Lists!$L$10,"Late","On Time"),"")</f>
        <v>On Time</v>
      </c>
      <c r="L66" s="16" t="str">
        <f>IF(G66&lt;&gt;"",IF(G66&lt;Lists!$L$11,"Early","On Time"),"")</f>
        <v>On Time</v>
      </c>
      <c r="M66" s="9" t="str">
        <f t="shared" si="1"/>
        <v>P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</row>
    <row r="67" spans="1:45" x14ac:dyDescent="0.3">
      <c r="A67" s="18">
        <v>46252</v>
      </c>
      <c r="B67" s="9" t="s">
        <v>360</v>
      </c>
      <c r="C67" s="9" t="str">
        <f>IFERROR(INDEX('Employee Master'!$B$10:$B$109,MATCH(B67,'Employee Master'!$A$10:$A$109,0)),"")</f>
        <v/>
      </c>
      <c r="D67" s="9" t="str">
        <f>IFERROR(INDEX('Employee Master'!$H$10:$H$109,MATCH(B67,'Employee Master'!$A$10:$A$109,0)),"")</f>
        <v/>
      </c>
      <c r="E67" s="16" t="s">
        <v>42</v>
      </c>
      <c r="F67" s="19">
        <v>0.38750000000000001</v>
      </c>
      <c r="G67" s="19">
        <v>0.75</v>
      </c>
      <c r="H67" s="16">
        <v>0</v>
      </c>
      <c r="I67" s="9"/>
      <c r="J67" s="16">
        <f t="shared" si="0"/>
        <v>8.6999999999999993</v>
      </c>
      <c r="K67" s="16" t="str">
        <f>IF(F67&lt;&gt;"",IF(F67&gt;Lists!$L$10,"Late","On Time"),"")</f>
        <v>On Time</v>
      </c>
      <c r="L67" s="16" t="str">
        <f>IF(G67&lt;&gt;"",IF(G67&lt;Lists!$L$11,"Early","On Time"),"")</f>
        <v>On Time</v>
      </c>
      <c r="M67" s="9" t="str">
        <f t="shared" si="1"/>
        <v>P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</row>
    <row r="68" spans="1:45" x14ac:dyDescent="0.3">
      <c r="A68" s="18">
        <v>46252</v>
      </c>
      <c r="B68" s="9" t="s">
        <v>361</v>
      </c>
      <c r="C68" s="9" t="str">
        <f>IFERROR(INDEX('Employee Master'!$B$10:$B$109,MATCH(B68,'Employee Master'!$A$10:$A$109,0)),"")</f>
        <v/>
      </c>
      <c r="D68" s="9" t="str">
        <f>IFERROR(INDEX('Employee Master'!$H$10:$H$109,MATCH(B68,'Employee Master'!$A$10:$A$109,0)),"")</f>
        <v/>
      </c>
      <c r="E68" s="16" t="s">
        <v>46</v>
      </c>
      <c r="F68" s="19"/>
      <c r="G68" s="19"/>
      <c r="H68" s="16">
        <v>0</v>
      </c>
      <c r="I68" s="9"/>
      <c r="J68" s="16" t="str">
        <f t="shared" si="0"/>
        <v/>
      </c>
      <c r="K68" s="16" t="str">
        <f>IF(F68&lt;&gt;"",IF(F68&gt;Lists!$L$10,"Late","On Time"),"")</f>
        <v/>
      </c>
      <c r="L68" s="16" t="str">
        <f>IF(G68&lt;&gt;"",IF(G68&lt;Lists!$L$11,"Early","On Time"),"")</f>
        <v/>
      </c>
      <c r="M68" s="9" t="str">
        <f t="shared" si="1"/>
        <v>WO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</row>
    <row r="69" spans="1:45" x14ac:dyDescent="0.3">
      <c r="A69" s="18">
        <v>46252</v>
      </c>
      <c r="B69" s="9" t="s">
        <v>362</v>
      </c>
      <c r="C69" s="9" t="str">
        <f>IFERROR(INDEX('Employee Master'!$B$10:$B$109,MATCH(B69,'Employee Master'!$A$10:$A$109,0)),"")</f>
        <v/>
      </c>
      <c r="D69" s="9" t="str">
        <f>IFERROR(INDEX('Employee Master'!$H$10:$H$109,MATCH(B69,'Employee Master'!$A$10:$A$109,0)),"")</f>
        <v/>
      </c>
      <c r="E69" s="16" t="s">
        <v>42</v>
      </c>
      <c r="F69" s="19">
        <v>0.38750000000000001</v>
      </c>
      <c r="G69" s="19">
        <v>0.75347222222222199</v>
      </c>
      <c r="H69" s="16">
        <v>0</v>
      </c>
      <c r="I69" s="9"/>
      <c r="J69" s="16">
        <f t="shared" si="0"/>
        <v>8.7799999999999994</v>
      </c>
      <c r="K69" s="16" t="str">
        <f>IF(F69&lt;&gt;"",IF(F69&gt;Lists!$L$10,"Late","On Time"),"")</f>
        <v>On Time</v>
      </c>
      <c r="L69" s="16" t="str">
        <f>IF(G69&lt;&gt;"",IF(G69&lt;Lists!$L$11,"Early","On Time"),"")</f>
        <v>On Time</v>
      </c>
      <c r="M69" s="9" t="str">
        <f t="shared" si="1"/>
        <v>P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</row>
    <row r="70" spans="1:45" x14ac:dyDescent="0.3">
      <c r="A70" s="18">
        <v>46252</v>
      </c>
      <c r="B70" s="9" t="s">
        <v>363</v>
      </c>
      <c r="C70" s="9" t="str">
        <f>IFERROR(INDEX('Employee Master'!$B$10:$B$109,MATCH(B70,'Employee Master'!$A$10:$A$109,0)),"")</f>
        <v/>
      </c>
      <c r="D70" s="9" t="str">
        <f>IFERROR(INDEX('Employee Master'!$H$10:$H$109,MATCH(B70,'Employee Master'!$A$10:$A$109,0)),"")</f>
        <v/>
      </c>
      <c r="E70" s="16" t="s">
        <v>42</v>
      </c>
      <c r="F70" s="19">
        <v>0.37847222222222199</v>
      </c>
      <c r="G70" s="19">
        <v>0.77430555555555602</v>
      </c>
      <c r="H70" s="16">
        <v>3</v>
      </c>
      <c r="I70" s="9"/>
      <c r="J70" s="16">
        <f t="shared" si="0"/>
        <v>9.5</v>
      </c>
      <c r="K70" s="16" t="str">
        <f>IF(F70&lt;&gt;"",IF(F70&gt;Lists!$L$10,"Late","On Time"),"")</f>
        <v>On Time</v>
      </c>
      <c r="L70" s="16" t="str">
        <f>IF(G70&lt;&gt;"",IF(G70&lt;Lists!$L$11,"Early","On Time"),"")</f>
        <v>On Time</v>
      </c>
      <c r="M70" s="9" t="str">
        <f t="shared" si="1"/>
        <v>P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</row>
    <row r="71" spans="1:45" x14ac:dyDescent="0.3">
      <c r="A71" s="18">
        <v>46252</v>
      </c>
      <c r="B71" s="9" t="s">
        <v>364</v>
      </c>
      <c r="C71" s="9" t="str">
        <f>IFERROR(INDEX('Employee Master'!$B$10:$B$109,MATCH(B71,'Employee Master'!$A$10:$A$109,0)),"")</f>
        <v/>
      </c>
      <c r="D71" s="9" t="str">
        <f>IFERROR(INDEX('Employee Master'!$H$10:$H$109,MATCH(B71,'Employee Master'!$A$10:$A$109,0)),"")</f>
        <v/>
      </c>
      <c r="E71" s="16" t="s">
        <v>42</v>
      </c>
      <c r="F71" s="19">
        <v>0.38541666666666702</v>
      </c>
      <c r="G71" s="19">
        <v>0.75347222222222199</v>
      </c>
      <c r="H71" s="16">
        <v>0</v>
      </c>
      <c r="I71" s="9"/>
      <c r="J71" s="16">
        <f t="shared" si="0"/>
        <v>8.83</v>
      </c>
      <c r="K71" s="16" t="str">
        <f>IF(F71&lt;&gt;"",IF(F71&gt;Lists!$L$10,"Late","On Time"),"")</f>
        <v>On Time</v>
      </c>
      <c r="L71" s="16" t="str">
        <f>IF(G71&lt;&gt;"",IF(G71&lt;Lists!$L$11,"Early","On Time"),"")</f>
        <v>On Time</v>
      </c>
      <c r="M71" s="9" t="str">
        <f t="shared" si="1"/>
        <v>P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</row>
    <row r="72" spans="1:45" x14ac:dyDescent="0.3">
      <c r="A72" s="18">
        <v>46252</v>
      </c>
      <c r="B72" s="9" t="s">
        <v>365</v>
      </c>
      <c r="C72" s="9" t="str">
        <f>IFERROR(INDEX('Employee Master'!$B$10:$B$109,MATCH(B72,'Employee Master'!$A$10:$A$109,0)),"")</f>
        <v/>
      </c>
      <c r="D72" s="9" t="str">
        <f>IFERROR(INDEX('Employee Master'!$H$10:$H$109,MATCH(B72,'Employee Master'!$A$10:$A$109,0)),"")</f>
        <v/>
      </c>
      <c r="E72" s="16" t="s">
        <v>42</v>
      </c>
      <c r="F72" s="19">
        <v>0.38541666666666702</v>
      </c>
      <c r="G72" s="19">
        <v>0.75</v>
      </c>
      <c r="H72" s="16">
        <v>0</v>
      </c>
      <c r="I72" s="9"/>
      <c r="J72" s="16">
        <f t="shared" si="0"/>
        <v>8.75</v>
      </c>
      <c r="K72" s="16" t="str">
        <f>IF(F72&lt;&gt;"",IF(F72&gt;Lists!$L$10,"Late","On Time"),"")</f>
        <v>On Time</v>
      </c>
      <c r="L72" s="16" t="str">
        <f>IF(G72&lt;&gt;"",IF(G72&lt;Lists!$L$11,"Early","On Time"),"")</f>
        <v>On Time</v>
      </c>
      <c r="M72" s="9" t="str">
        <f t="shared" si="1"/>
        <v>P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</row>
    <row r="73" spans="1:45" x14ac:dyDescent="0.3">
      <c r="A73" s="18">
        <v>46252</v>
      </c>
      <c r="B73" s="9" t="s">
        <v>366</v>
      </c>
      <c r="C73" s="9" t="str">
        <f>IFERROR(INDEX('Employee Master'!$B$10:$B$109,MATCH(B73,'Employee Master'!$A$10:$A$109,0)),"")</f>
        <v/>
      </c>
      <c r="D73" s="9" t="str">
        <f>IFERROR(INDEX('Employee Master'!$H$10:$H$109,MATCH(B73,'Employee Master'!$A$10:$A$109,0)),"")</f>
        <v/>
      </c>
      <c r="E73" s="16" t="s">
        <v>42</v>
      </c>
      <c r="F73" s="19">
        <v>0.38750000000000001</v>
      </c>
      <c r="G73" s="19">
        <v>0.76388888888888895</v>
      </c>
      <c r="H73" s="16">
        <v>1</v>
      </c>
      <c r="I73" s="9"/>
      <c r="J73" s="16">
        <f t="shared" si="0"/>
        <v>9.0299999999999994</v>
      </c>
      <c r="K73" s="16" t="str">
        <f>IF(F73&lt;&gt;"",IF(F73&gt;Lists!$L$10,"Late","On Time"),"")</f>
        <v>On Time</v>
      </c>
      <c r="L73" s="16" t="str">
        <f>IF(G73&lt;&gt;"",IF(G73&lt;Lists!$L$11,"Early","On Time"),"")</f>
        <v>On Time</v>
      </c>
      <c r="M73" s="9" t="str">
        <f t="shared" si="1"/>
        <v>P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</row>
    <row r="74" spans="1:45" x14ac:dyDescent="0.3">
      <c r="A74" s="18">
        <v>46252</v>
      </c>
      <c r="B74" s="9" t="s">
        <v>367</v>
      </c>
      <c r="C74" s="9" t="str">
        <f>IFERROR(INDEX('Employee Master'!$B$10:$B$109,MATCH(B74,'Employee Master'!$A$10:$A$109,0)),"")</f>
        <v/>
      </c>
      <c r="D74" s="9" t="str">
        <f>IFERROR(INDEX('Employee Master'!$H$10:$H$109,MATCH(B74,'Employee Master'!$A$10:$A$109,0)),"")</f>
        <v/>
      </c>
      <c r="E74" s="16" t="s">
        <v>42</v>
      </c>
      <c r="F74" s="19">
        <v>0.39236111111111099</v>
      </c>
      <c r="G74" s="19">
        <v>0.76388888888888895</v>
      </c>
      <c r="H74" s="16">
        <v>0</v>
      </c>
      <c r="I74" s="9"/>
      <c r="J74" s="16">
        <f t="shared" ref="J74:J137" si="2">IF(AND(F74&lt;&gt;"",G74&lt;&gt;""),ROUND((G74-F74)*24,2),"")</f>
        <v>8.92</v>
      </c>
      <c r="K74" s="16" t="str">
        <f>IF(F74&lt;&gt;"",IF(F74&gt;Lists!$L$10,"Late","On Time"),"")</f>
        <v>On Time</v>
      </c>
      <c r="L74" s="16" t="str">
        <f>IF(G74&lt;&gt;"",IF(G74&lt;Lists!$L$11,"Early","On Time"),"")</f>
        <v>On Time</v>
      </c>
      <c r="M74" s="9" t="str">
        <f t="shared" ref="M74:M137" si="3">IF(E74="","",E74&amp;IF(K74="Late"," +Late","")&amp;IF(L74="Early"," +Early Exit",""))</f>
        <v>P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</row>
    <row r="75" spans="1:45" x14ac:dyDescent="0.3">
      <c r="A75" s="18">
        <v>46252</v>
      </c>
      <c r="B75" s="9" t="s">
        <v>368</v>
      </c>
      <c r="C75" s="9" t="str">
        <f>IFERROR(INDEX('Employee Master'!$B$10:$B$109,MATCH(B75,'Employee Master'!$A$10:$A$109,0)),"")</f>
        <v/>
      </c>
      <c r="D75" s="9" t="str">
        <f>IFERROR(INDEX('Employee Master'!$H$10:$H$109,MATCH(B75,'Employee Master'!$A$10:$A$109,0)),"")</f>
        <v/>
      </c>
      <c r="E75" s="16" t="s">
        <v>42</v>
      </c>
      <c r="F75" s="19">
        <v>0.38750000000000001</v>
      </c>
      <c r="G75" s="19">
        <v>0.75694444444444398</v>
      </c>
      <c r="H75" s="16">
        <v>0</v>
      </c>
      <c r="I75" s="9"/>
      <c r="J75" s="16">
        <f t="shared" si="2"/>
        <v>8.8699999999999992</v>
      </c>
      <c r="K75" s="16" t="str">
        <f>IF(F75&lt;&gt;"",IF(F75&gt;Lists!$L$10,"Late","On Time"),"")</f>
        <v>On Time</v>
      </c>
      <c r="L75" s="16" t="str">
        <f>IF(G75&lt;&gt;"",IF(G75&lt;Lists!$L$11,"Early","On Time"),"")</f>
        <v>On Time</v>
      </c>
      <c r="M75" s="9" t="str">
        <f t="shared" si="3"/>
        <v>P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</row>
    <row r="76" spans="1:45" x14ac:dyDescent="0.3">
      <c r="A76" s="18">
        <v>46252</v>
      </c>
      <c r="B76" s="9" t="s">
        <v>369</v>
      </c>
      <c r="C76" s="9" t="str">
        <f>IFERROR(INDEX('Employee Master'!$B$10:$B$109,MATCH(B76,'Employee Master'!$A$10:$A$109,0)),"")</f>
        <v/>
      </c>
      <c r="D76" s="9" t="str">
        <f>IFERROR(INDEX('Employee Master'!$H$10:$H$109,MATCH(B76,'Employee Master'!$A$10:$A$109,0)),"")</f>
        <v/>
      </c>
      <c r="E76" s="16" t="s">
        <v>42</v>
      </c>
      <c r="F76" s="19">
        <v>0.42708333333333298</v>
      </c>
      <c r="G76" s="19">
        <v>0.42013888888888901</v>
      </c>
      <c r="H76" s="16">
        <v>0</v>
      </c>
      <c r="I76" s="9"/>
      <c r="J76" s="16">
        <f t="shared" si="2"/>
        <v>-0.17</v>
      </c>
      <c r="K76" s="16" t="str">
        <f>IF(F76&lt;&gt;"",IF(F76&gt;Lists!$L$10,"Late","On Time"),"")</f>
        <v>Late</v>
      </c>
      <c r="L76" s="16" t="str">
        <f>IF(G76&lt;&gt;"",IF(G76&lt;Lists!$L$11,"Early","On Time"),"")</f>
        <v>Early</v>
      </c>
      <c r="M76" s="9" t="str">
        <f t="shared" si="3"/>
        <v>P +Late +Early Exit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</row>
    <row r="77" spans="1:45" x14ac:dyDescent="0.3">
      <c r="A77" s="18">
        <v>46252</v>
      </c>
      <c r="B77" s="9" t="s">
        <v>370</v>
      </c>
      <c r="C77" s="9" t="str">
        <f>IFERROR(INDEX('Employee Master'!$B$10:$B$109,MATCH(B77,'Employee Master'!$A$10:$A$109,0)),"")</f>
        <v/>
      </c>
      <c r="D77" s="9" t="str">
        <f>IFERROR(INDEX('Employee Master'!$H$10:$H$109,MATCH(B77,'Employee Master'!$A$10:$A$109,0)),"")</f>
        <v/>
      </c>
      <c r="E77" s="16" t="s">
        <v>42</v>
      </c>
      <c r="F77" s="19">
        <v>0.42708333333333298</v>
      </c>
      <c r="G77" s="19">
        <v>0.42013888888888901</v>
      </c>
      <c r="H77" s="16">
        <v>0</v>
      </c>
      <c r="I77" s="9"/>
      <c r="J77" s="16">
        <f t="shared" si="2"/>
        <v>-0.17</v>
      </c>
      <c r="K77" s="16" t="str">
        <f>IF(F77&lt;&gt;"",IF(F77&gt;Lists!$L$10,"Late","On Time"),"")</f>
        <v>Late</v>
      </c>
      <c r="L77" s="16" t="str">
        <f>IF(G77&lt;&gt;"",IF(G77&lt;Lists!$L$11,"Early","On Time"),"")</f>
        <v>Early</v>
      </c>
      <c r="M77" s="9" t="str">
        <f t="shared" si="3"/>
        <v>P +Late +Early Exit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</row>
    <row r="78" spans="1:45" x14ac:dyDescent="0.3">
      <c r="A78" s="18">
        <v>46253</v>
      </c>
      <c r="B78" s="9" t="s">
        <v>371</v>
      </c>
      <c r="C78" s="9" t="str">
        <f>IFERROR(INDEX('Employee Master'!$B$10:$B$109,MATCH(B78,'Employee Master'!$A$10:$A$109,0)),"")</f>
        <v/>
      </c>
      <c r="D78" s="9" t="str">
        <f>IFERROR(INDEX('Employee Master'!$H$10:$H$109,MATCH(B78,'Employee Master'!$A$10:$A$109,0)),"")</f>
        <v/>
      </c>
      <c r="E78" s="16" t="s">
        <v>42</v>
      </c>
      <c r="F78" s="19">
        <v>0.390277777777778</v>
      </c>
      <c r="G78" s="19">
        <v>0.75</v>
      </c>
      <c r="H78" s="16">
        <v>0</v>
      </c>
      <c r="I78" s="9"/>
      <c r="J78" s="16">
        <f t="shared" si="2"/>
        <v>8.6300000000000008</v>
      </c>
      <c r="K78" s="16" t="str">
        <f>IF(F78&lt;&gt;"",IF(F78&gt;Lists!$L$10,"Late","On Time"),"")</f>
        <v>On Time</v>
      </c>
      <c r="L78" s="16" t="str">
        <f>IF(G78&lt;&gt;"",IF(G78&lt;Lists!$L$11,"Early","On Time"),"")</f>
        <v>On Time</v>
      </c>
      <c r="M78" s="9" t="str">
        <f t="shared" si="3"/>
        <v>P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</row>
    <row r="79" spans="1:45" x14ac:dyDescent="0.3">
      <c r="A79" s="18">
        <v>46253</v>
      </c>
      <c r="B79" s="9" t="s">
        <v>372</v>
      </c>
      <c r="C79" s="9" t="str">
        <f>IFERROR(INDEX('Employee Master'!$B$10:$B$109,MATCH(B79,'Employee Master'!$A$10:$A$109,0)),"")</f>
        <v/>
      </c>
      <c r="D79" s="9" t="str">
        <f>IFERROR(INDEX('Employee Master'!$H$10:$H$109,MATCH(B79,'Employee Master'!$A$10:$A$109,0)),"")</f>
        <v/>
      </c>
      <c r="E79" s="16" t="s">
        <v>42</v>
      </c>
      <c r="F79" s="19">
        <v>0.38541666666666702</v>
      </c>
      <c r="G79" s="19">
        <v>0.75</v>
      </c>
      <c r="H79" s="16">
        <v>0</v>
      </c>
      <c r="I79" s="9"/>
      <c r="J79" s="16">
        <f t="shared" si="2"/>
        <v>8.75</v>
      </c>
      <c r="K79" s="16" t="str">
        <f>IF(F79&lt;&gt;"",IF(F79&gt;Lists!$L$10,"Late","On Time"),"")</f>
        <v>On Time</v>
      </c>
      <c r="L79" s="16" t="str">
        <f>IF(G79&lt;&gt;"",IF(G79&lt;Lists!$L$11,"Early","On Time"),"")</f>
        <v>On Time</v>
      </c>
      <c r="M79" s="9" t="str">
        <f t="shared" si="3"/>
        <v>P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</row>
    <row r="80" spans="1:45" x14ac:dyDescent="0.3">
      <c r="A80" s="18">
        <v>46253</v>
      </c>
      <c r="B80" s="9" t="s">
        <v>373</v>
      </c>
      <c r="C80" s="9" t="str">
        <f>IFERROR(INDEX('Employee Master'!$B$10:$B$109,MATCH(B80,'Employee Master'!$A$10:$A$109,0)),"")</f>
        <v/>
      </c>
      <c r="D80" s="9" t="str">
        <f>IFERROR(INDEX('Employee Master'!$H$10:$H$109,MATCH(B80,'Employee Master'!$A$10:$A$109,0)),"")</f>
        <v/>
      </c>
      <c r="E80" s="16" t="s">
        <v>46</v>
      </c>
      <c r="F80" s="19"/>
      <c r="G80" s="19"/>
      <c r="H80" s="16">
        <v>0</v>
      </c>
      <c r="I80" s="9"/>
      <c r="J80" s="16" t="str">
        <f t="shared" si="2"/>
        <v/>
      </c>
      <c r="K80" s="16" t="str">
        <f>IF(F80&lt;&gt;"",IF(F80&gt;Lists!$L$10,"Late","On Time"),"")</f>
        <v/>
      </c>
      <c r="L80" s="16" t="str">
        <f>IF(G80&lt;&gt;"",IF(G80&lt;Lists!$L$11,"Early","On Time"),"")</f>
        <v/>
      </c>
      <c r="M80" s="9" t="str">
        <f t="shared" si="3"/>
        <v>WO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</row>
    <row r="81" spans="1:45" x14ac:dyDescent="0.3">
      <c r="A81" s="18">
        <v>46253</v>
      </c>
      <c r="B81" s="9" t="s">
        <v>374</v>
      </c>
      <c r="C81" s="9" t="str">
        <f>IFERROR(INDEX('Employee Master'!$B$10:$B$109,MATCH(B81,'Employee Master'!$A$10:$A$109,0)),"")</f>
        <v/>
      </c>
      <c r="D81" s="9" t="str">
        <f>IFERROR(INDEX('Employee Master'!$H$10:$H$109,MATCH(B81,'Employee Master'!$A$10:$A$109,0)),"")</f>
        <v/>
      </c>
      <c r="E81" s="16" t="s">
        <v>42</v>
      </c>
      <c r="F81" s="19">
        <v>0.38194444444444398</v>
      </c>
      <c r="G81" s="19">
        <v>0.75347222222222199</v>
      </c>
      <c r="H81" s="16">
        <v>0</v>
      </c>
      <c r="I81" s="9"/>
      <c r="J81" s="16">
        <f t="shared" si="2"/>
        <v>8.92</v>
      </c>
      <c r="K81" s="16" t="str">
        <f>IF(F81&lt;&gt;"",IF(F81&gt;Lists!$L$10,"Late","On Time"),"")</f>
        <v>On Time</v>
      </c>
      <c r="L81" s="16" t="str">
        <f>IF(G81&lt;&gt;"",IF(G81&lt;Lists!$L$11,"Early","On Time"),"")</f>
        <v>On Time</v>
      </c>
      <c r="M81" s="9" t="str">
        <f t="shared" si="3"/>
        <v>P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</row>
    <row r="82" spans="1:45" x14ac:dyDescent="0.3">
      <c r="A82" s="18">
        <v>46253</v>
      </c>
      <c r="B82" s="9" t="s">
        <v>375</v>
      </c>
      <c r="C82" s="9" t="str">
        <f>IFERROR(INDEX('Employee Master'!$B$10:$B$109,MATCH(B82,'Employee Master'!$A$10:$A$109,0)),"")</f>
        <v/>
      </c>
      <c r="D82" s="9" t="str">
        <f>IFERROR(INDEX('Employee Master'!$H$10:$H$109,MATCH(B82,'Employee Master'!$A$10:$A$109,0)),"")</f>
        <v/>
      </c>
      <c r="E82" s="16" t="s">
        <v>42</v>
      </c>
      <c r="F82" s="19">
        <v>0.38541666666666702</v>
      </c>
      <c r="G82" s="19">
        <v>0.75347222222222199</v>
      </c>
      <c r="H82" s="16">
        <v>0</v>
      </c>
      <c r="I82" s="9"/>
      <c r="J82" s="16">
        <f t="shared" si="2"/>
        <v>8.83</v>
      </c>
      <c r="K82" s="16" t="str">
        <f>IF(F82&lt;&gt;"",IF(F82&gt;Lists!$L$10,"Late","On Time"),"")</f>
        <v>On Time</v>
      </c>
      <c r="L82" s="16" t="str">
        <f>IF(G82&lt;&gt;"",IF(G82&lt;Lists!$L$11,"Early","On Time"),"")</f>
        <v>On Time</v>
      </c>
      <c r="M82" s="9" t="str">
        <f t="shared" si="3"/>
        <v>P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</row>
    <row r="83" spans="1:45" x14ac:dyDescent="0.3">
      <c r="A83" s="18">
        <v>46253</v>
      </c>
      <c r="B83" s="9" t="s">
        <v>376</v>
      </c>
      <c r="C83" s="9" t="str">
        <f>IFERROR(INDEX('Employee Master'!$B$10:$B$109,MATCH(B83,'Employee Master'!$A$10:$A$109,0)),"")</f>
        <v/>
      </c>
      <c r="D83" s="9" t="str">
        <f>IFERROR(INDEX('Employee Master'!$H$10:$H$109,MATCH(B83,'Employee Master'!$A$10:$A$109,0)),"")</f>
        <v/>
      </c>
      <c r="E83" s="16" t="s">
        <v>42</v>
      </c>
      <c r="F83" s="19">
        <v>0.38750000000000001</v>
      </c>
      <c r="G83" s="19">
        <v>0.75</v>
      </c>
      <c r="H83" s="16">
        <v>0</v>
      </c>
      <c r="I83" s="9"/>
      <c r="J83" s="16">
        <f t="shared" si="2"/>
        <v>8.6999999999999993</v>
      </c>
      <c r="K83" s="16" t="str">
        <f>IF(F83&lt;&gt;"",IF(F83&gt;Lists!$L$10,"Late","On Time"),"")</f>
        <v>On Time</v>
      </c>
      <c r="L83" s="16" t="str">
        <f>IF(G83&lt;&gt;"",IF(G83&lt;Lists!$L$11,"Early","On Time"),"")</f>
        <v>On Time</v>
      </c>
      <c r="M83" s="9" t="str">
        <f t="shared" si="3"/>
        <v>P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</row>
    <row r="84" spans="1:45" x14ac:dyDescent="0.3">
      <c r="A84" s="18">
        <v>46253</v>
      </c>
      <c r="B84" s="9" t="s">
        <v>377</v>
      </c>
      <c r="C84" s="9" t="str">
        <f>IFERROR(INDEX('Employee Master'!$B$10:$B$109,MATCH(B84,'Employee Master'!$A$10:$A$109,0)),"")</f>
        <v/>
      </c>
      <c r="D84" s="9" t="str">
        <f>IFERROR(INDEX('Employee Master'!$H$10:$H$109,MATCH(B84,'Employee Master'!$A$10:$A$109,0)),"")</f>
        <v/>
      </c>
      <c r="E84" s="16" t="s">
        <v>42</v>
      </c>
      <c r="F84" s="19">
        <v>0.390277777777778</v>
      </c>
      <c r="G84" s="19">
        <v>0.77430555555555602</v>
      </c>
      <c r="H84" s="16">
        <v>0</v>
      </c>
      <c r="I84" s="9"/>
      <c r="J84" s="16">
        <f t="shared" si="2"/>
        <v>9.2200000000000006</v>
      </c>
      <c r="K84" s="16" t="str">
        <f>IF(F84&lt;&gt;"",IF(F84&gt;Lists!$L$10,"Late","On Time"),"")</f>
        <v>On Time</v>
      </c>
      <c r="L84" s="16" t="str">
        <f>IF(G84&lt;&gt;"",IF(G84&lt;Lists!$L$11,"Early","On Time"),"")</f>
        <v>On Time</v>
      </c>
      <c r="M84" s="9" t="str">
        <f t="shared" si="3"/>
        <v>P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</row>
    <row r="85" spans="1:45" x14ac:dyDescent="0.3">
      <c r="A85" s="18">
        <v>46253</v>
      </c>
      <c r="B85" s="9" t="s">
        <v>378</v>
      </c>
      <c r="C85" s="9" t="str">
        <f>IFERROR(INDEX('Employee Master'!$B$10:$B$109,MATCH(B85,'Employee Master'!$A$10:$A$109,0)),"")</f>
        <v/>
      </c>
      <c r="D85" s="9" t="str">
        <f>IFERROR(INDEX('Employee Master'!$H$10:$H$109,MATCH(B85,'Employee Master'!$A$10:$A$109,0)),"")</f>
        <v/>
      </c>
      <c r="E85" s="16" t="s">
        <v>46</v>
      </c>
      <c r="F85" s="19"/>
      <c r="G85" s="19"/>
      <c r="H85" s="16">
        <v>0</v>
      </c>
      <c r="I85" s="9"/>
      <c r="J85" s="16" t="str">
        <f t="shared" si="2"/>
        <v/>
      </c>
      <c r="K85" s="16" t="str">
        <f>IF(F85&lt;&gt;"",IF(F85&gt;Lists!$L$10,"Late","On Time"),"")</f>
        <v/>
      </c>
      <c r="L85" s="16" t="str">
        <f>IF(G85&lt;&gt;"",IF(G85&lt;Lists!$L$11,"Early","On Time"),"")</f>
        <v/>
      </c>
      <c r="M85" s="9" t="str">
        <f t="shared" si="3"/>
        <v>WO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</row>
    <row r="86" spans="1:45" x14ac:dyDescent="0.3">
      <c r="A86" s="18">
        <v>46253</v>
      </c>
      <c r="B86" s="9" t="s">
        <v>379</v>
      </c>
      <c r="C86" s="9" t="str">
        <f>IFERROR(INDEX('Employee Master'!$B$10:$B$109,MATCH(B86,'Employee Master'!$A$10:$A$109,0)),"")</f>
        <v/>
      </c>
      <c r="D86" s="9" t="str">
        <f>IFERROR(INDEX('Employee Master'!$H$10:$H$109,MATCH(B86,'Employee Master'!$A$10:$A$109,0)),"")</f>
        <v/>
      </c>
      <c r="E86" s="16" t="s">
        <v>42</v>
      </c>
      <c r="F86" s="19">
        <v>0.38194444444444398</v>
      </c>
      <c r="G86" s="19">
        <v>0.75694444444444398</v>
      </c>
      <c r="H86" s="16">
        <v>0</v>
      </c>
      <c r="I86" s="9"/>
      <c r="J86" s="16">
        <f t="shared" si="2"/>
        <v>9</v>
      </c>
      <c r="K86" s="16" t="str">
        <f>IF(F86&lt;&gt;"",IF(F86&gt;Lists!$L$10,"Late","On Time"),"")</f>
        <v>On Time</v>
      </c>
      <c r="L86" s="16" t="str">
        <f>IF(G86&lt;&gt;"",IF(G86&lt;Lists!$L$11,"Early","On Time"),"")</f>
        <v>On Time</v>
      </c>
      <c r="M86" s="9" t="str">
        <f t="shared" si="3"/>
        <v>P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</row>
    <row r="87" spans="1:45" x14ac:dyDescent="0.3">
      <c r="A87" s="18">
        <v>46253</v>
      </c>
      <c r="B87" s="9" t="s">
        <v>380</v>
      </c>
      <c r="C87" s="9" t="str">
        <f>IFERROR(INDEX('Employee Master'!$B$10:$B$109,MATCH(B87,'Employee Master'!$A$10:$A$109,0)),"")</f>
        <v/>
      </c>
      <c r="D87" s="9" t="str">
        <f>IFERROR(INDEX('Employee Master'!$H$10:$H$109,MATCH(B87,'Employee Master'!$A$10:$A$109,0)),"")</f>
        <v/>
      </c>
      <c r="E87" s="16" t="s">
        <v>42</v>
      </c>
      <c r="F87" s="19">
        <v>0.390277777777778</v>
      </c>
      <c r="G87" s="19">
        <v>0.75347222222222199</v>
      </c>
      <c r="H87" s="16">
        <v>2.5</v>
      </c>
      <c r="I87" s="9"/>
      <c r="J87" s="16">
        <f t="shared" si="2"/>
        <v>8.7200000000000006</v>
      </c>
      <c r="K87" s="16" t="str">
        <f>IF(F87&lt;&gt;"",IF(F87&gt;Lists!$L$10,"Late","On Time"),"")</f>
        <v>On Time</v>
      </c>
      <c r="L87" s="16" t="str">
        <f>IF(G87&lt;&gt;"",IF(G87&lt;Lists!$L$11,"Early","On Time"),"")</f>
        <v>On Time</v>
      </c>
      <c r="M87" s="9" t="str">
        <f t="shared" si="3"/>
        <v>P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</row>
    <row r="88" spans="1:45" x14ac:dyDescent="0.3">
      <c r="A88" s="18">
        <v>46253</v>
      </c>
      <c r="B88" s="9" t="s">
        <v>381</v>
      </c>
      <c r="C88" s="9" t="str">
        <f>IFERROR(INDEX('Employee Master'!$B$10:$B$109,MATCH(B88,'Employee Master'!$A$10:$A$109,0)),"")</f>
        <v/>
      </c>
      <c r="D88" s="9" t="str">
        <f>IFERROR(INDEX('Employee Master'!$H$10:$H$109,MATCH(B88,'Employee Master'!$A$10:$A$109,0)),"")</f>
        <v/>
      </c>
      <c r="E88" s="16" t="s">
        <v>42</v>
      </c>
      <c r="F88" s="19">
        <v>0.38541666666666702</v>
      </c>
      <c r="G88" s="19">
        <v>0.75694444444444398</v>
      </c>
      <c r="H88" s="16">
        <v>0</v>
      </c>
      <c r="I88" s="9"/>
      <c r="J88" s="16">
        <f t="shared" si="2"/>
        <v>8.92</v>
      </c>
      <c r="K88" s="16" t="str">
        <f>IF(F88&lt;&gt;"",IF(F88&gt;Lists!$L$10,"Late","On Time"),"")</f>
        <v>On Time</v>
      </c>
      <c r="L88" s="16" t="str">
        <f>IF(G88&lt;&gt;"",IF(G88&lt;Lists!$L$11,"Early","On Time"),"")</f>
        <v>On Time</v>
      </c>
      <c r="M88" s="9" t="str">
        <f t="shared" si="3"/>
        <v>P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</row>
    <row r="89" spans="1:45" x14ac:dyDescent="0.3">
      <c r="A89" s="18">
        <v>46253</v>
      </c>
      <c r="B89" s="9" t="s">
        <v>382</v>
      </c>
      <c r="C89" s="9" t="str">
        <f>IFERROR(INDEX('Employee Master'!$B$10:$B$109,MATCH(B89,'Employee Master'!$A$10:$A$109,0)),"")</f>
        <v/>
      </c>
      <c r="D89" s="9" t="str">
        <f>IFERROR(INDEX('Employee Master'!$H$10:$H$109,MATCH(B89,'Employee Master'!$A$10:$A$109,0)),"")</f>
        <v/>
      </c>
      <c r="E89" s="16" t="s">
        <v>42</v>
      </c>
      <c r="F89" s="19">
        <v>0.38541666666666702</v>
      </c>
      <c r="G89" s="19">
        <v>0.76388888888888895</v>
      </c>
      <c r="H89" s="16">
        <v>0</v>
      </c>
      <c r="I89" s="9"/>
      <c r="J89" s="16">
        <f t="shared" si="2"/>
        <v>9.08</v>
      </c>
      <c r="K89" s="16" t="str">
        <f>IF(F89&lt;&gt;"",IF(F89&gt;Lists!$L$10,"Late","On Time"),"")</f>
        <v>On Time</v>
      </c>
      <c r="L89" s="16" t="str">
        <f>IF(G89&lt;&gt;"",IF(G89&lt;Lists!$L$11,"Early","On Time"),"")</f>
        <v>On Time</v>
      </c>
      <c r="M89" s="9" t="str">
        <f t="shared" si="3"/>
        <v>P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</row>
    <row r="90" spans="1:45" x14ac:dyDescent="0.3">
      <c r="A90" s="18">
        <v>46253</v>
      </c>
      <c r="B90" s="9" t="s">
        <v>383</v>
      </c>
      <c r="C90" s="9" t="str">
        <f>IFERROR(INDEX('Employee Master'!$B$10:$B$109,MATCH(B90,'Employee Master'!$A$10:$A$109,0)),"")</f>
        <v/>
      </c>
      <c r="D90" s="9" t="str">
        <f>IFERROR(INDEX('Employee Master'!$H$10:$H$109,MATCH(B90,'Employee Master'!$A$10:$A$109,0)),"")</f>
        <v/>
      </c>
      <c r="E90" s="16" t="s">
        <v>42</v>
      </c>
      <c r="F90" s="19">
        <v>0.390277777777778</v>
      </c>
      <c r="G90" s="19">
        <v>0.76388888888888895</v>
      </c>
      <c r="H90" s="16">
        <v>1.5</v>
      </c>
      <c r="I90" s="9"/>
      <c r="J90" s="16">
        <f t="shared" si="2"/>
        <v>8.9700000000000006</v>
      </c>
      <c r="K90" s="16" t="str">
        <f>IF(F90&lt;&gt;"",IF(F90&gt;Lists!$L$10,"Late","On Time"),"")</f>
        <v>On Time</v>
      </c>
      <c r="L90" s="16" t="str">
        <f>IF(G90&lt;&gt;"",IF(G90&lt;Lists!$L$11,"Early","On Time"),"")</f>
        <v>On Time</v>
      </c>
      <c r="M90" s="9" t="str">
        <f t="shared" si="3"/>
        <v>P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</row>
    <row r="91" spans="1:45" x14ac:dyDescent="0.3">
      <c r="A91" s="18">
        <v>46253</v>
      </c>
      <c r="B91" s="9" t="s">
        <v>384</v>
      </c>
      <c r="C91" s="9" t="str">
        <f>IFERROR(INDEX('Employee Master'!$B$10:$B$109,MATCH(B91,'Employee Master'!$A$10:$A$109,0)),"")</f>
        <v/>
      </c>
      <c r="D91" s="9" t="str">
        <f>IFERROR(INDEX('Employee Master'!$H$10:$H$109,MATCH(B91,'Employee Master'!$A$10:$A$109,0)),"")</f>
        <v/>
      </c>
      <c r="E91" s="16" t="s">
        <v>46</v>
      </c>
      <c r="F91" s="19"/>
      <c r="G91" s="19"/>
      <c r="H91" s="16">
        <v>0</v>
      </c>
      <c r="I91" s="9"/>
      <c r="J91" s="16" t="str">
        <f t="shared" si="2"/>
        <v/>
      </c>
      <c r="K91" s="16" t="str">
        <f>IF(F91&lt;&gt;"",IF(F91&gt;Lists!$L$10,"Late","On Time"),"")</f>
        <v/>
      </c>
      <c r="L91" s="16" t="str">
        <f>IF(G91&lt;&gt;"",IF(G91&lt;Lists!$L$11,"Early","On Time"),"")</f>
        <v/>
      </c>
      <c r="M91" s="9" t="str">
        <f t="shared" si="3"/>
        <v>WO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</row>
    <row r="92" spans="1:45" x14ac:dyDescent="0.3">
      <c r="A92" s="18">
        <v>46253</v>
      </c>
      <c r="B92" s="9" t="s">
        <v>385</v>
      </c>
      <c r="C92" s="9" t="str">
        <f>IFERROR(INDEX('Employee Master'!$B$10:$B$109,MATCH(B92,'Employee Master'!$A$10:$A$109,0)),"")</f>
        <v/>
      </c>
      <c r="D92" s="9" t="str">
        <f>IFERROR(INDEX('Employee Master'!$H$10:$H$109,MATCH(B92,'Employee Master'!$A$10:$A$109,0)),"")</f>
        <v/>
      </c>
      <c r="E92" s="16" t="s">
        <v>42</v>
      </c>
      <c r="F92" s="19">
        <v>0.38750000000000001</v>
      </c>
      <c r="G92" s="19">
        <v>0.75694444444444398</v>
      </c>
      <c r="H92" s="16">
        <v>0</v>
      </c>
      <c r="I92" s="9"/>
      <c r="J92" s="16">
        <f t="shared" si="2"/>
        <v>8.8699999999999992</v>
      </c>
      <c r="K92" s="16" t="str">
        <f>IF(F92&lt;&gt;"",IF(F92&gt;Lists!$L$10,"Late","On Time"),"")</f>
        <v>On Time</v>
      </c>
      <c r="L92" s="16" t="str">
        <f>IF(G92&lt;&gt;"",IF(G92&lt;Lists!$L$11,"Early","On Time"),"")</f>
        <v>On Time</v>
      </c>
      <c r="M92" s="9" t="str">
        <f t="shared" si="3"/>
        <v>P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</row>
    <row r="93" spans="1:45" x14ac:dyDescent="0.3">
      <c r="A93" s="18">
        <v>46253</v>
      </c>
      <c r="B93" s="9" t="s">
        <v>386</v>
      </c>
      <c r="C93" s="9" t="str">
        <f>IFERROR(INDEX('Employee Master'!$B$10:$B$109,MATCH(B93,'Employee Master'!$A$10:$A$109,0)),"")</f>
        <v/>
      </c>
      <c r="D93" s="9" t="str">
        <f>IFERROR(INDEX('Employee Master'!$H$10:$H$109,MATCH(B93,'Employee Master'!$A$10:$A$109,0)),"")</f>
        <v/>
      </c>
      <c r="E93" s="16" t="s">
        <v>42</v>
      </c>
      <c r="F93" s="19">
        <v>0.38194444444444398</v>
      </c>
      <c r="G93" s="19">
        <v>0.77430555555555602</v>
      </c>
      <c r="H93" s="16">
        <v>0</v>
      </c>
      <c r="I93" s="9"/>
      <c r="J93" s="16">
        <f t="shared" si="2"/>
        <v>9.42</v>
      </c>
      <c r="K93" s="16" t="str">
        <f>IF(F93&lt;&gt;"",IF(F93&gt;Lists!$L$10,"Late","On Time"),"")</f>
        <v>On Time</v>
      </c>
      <c r="L93" s="16" t="str">
        <f>IF(G93&lt;&gt;"",IF(G93&lt;Lists!$L$11,"Early","On Time"),"")</f>
        <v>On Time</v>
      </c>
      <c r="M93" s="9" t="str">
        <f t="shared" si="3"/>
        <v>P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</row>
    <row r="94" spans="1:45" x14ac:dyDescent="0.3">
      <c r="A94" s="18">
        <v>46253</v>
      </c>
      <c r="B94" s="9" t="s">
        <v>387</v>
      </c>
      <c r="C94" s="9" t="str">
        <f>IFERROR(INDEX('Employee Master'!$B$10:$B$109,MATCH(B94,'Employee Master'!$A$10:$A$109,0)),"")</f>
        <v/>
      </c>
      <c r="D94" s="9" t="str">
        <f>IFERROR(INDEX('Employee Master'!$H$10:$H$109,MATCH(B94,'Employee Master'!$A$10:$A$109,0)),"")</f>
        <v/>
      </c>
      <c r="E94" s="16" t="s">
        <v>48</v>
      </c>
      <c r="F94" s="19">
        <v>0.38541666666666702</v>
      </c>
      <c r="G94" s="19">
        <v>0.5625</v>
      </c>
      <c r="H94" s="16">
        <v>0</v>
      </c>
      <c r="I94" s="9"/>
      <c r="J94" s="16">
        <f t="shared" si="2"/>
        <v>4.25</v>
      </c>
      <c r="K94" s="16" t="str">
        <f>IF(F94&lt;&gt;"",IF(F94&gt;Lists!$L$10,"Late","On Time"),"")</f>
        <v>On Time</v>
      </c>
      <c r="L94" s="16" t="str">
        <f>IF(G94&lt;&gt;"",IF(G94&lt;Lists!$L$11,"Early","On Time"),"")</f>
        <v>Early</v>
      </c>
      <c r="M94" s="9" t="str">
        <f t="shared" si="3"/>
        <v>HD +Early Exit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</row>
    <row r="95" spans="1:45" x14ac:dyDescent="0.3">
      <c r="A95" s="18">
        <v>46253</v>
      </c>
      <c r="B95" s="9" t="s">
        <v>388</v>
      </c>
      <c r="C95" s="9" t="str">
        <f>IFERROR(INDEX('Employee Master'!$B$10:$B$109,MATCH(B95,'Employee Master'!$A$10:$A$109,0)),"")</f>
        <v/>
      </c>
      <c r="D95" s="9" t="str">
        <f>IFERROR(INDEX('Employee Master'!$H$10:$H$109,MATCH(B95,'Employee Master'!$A$10:$A$109,0)),"")</f>
        <v/>
      </c>
      <c r="E95" s="16" t="s">
        <v>48</v>
      </c>
      <c r="F95" s="19">
        <v>0.38194444444444398</v>
      </c>
      <c r="G95" s="19">
        <v>0.5625</v>
      </c>
      <c r="H95" s="16">
        <v>0</v>
      </c>
      <c r="I95" s="9"/>
      <c r="J95" s="16">
        <f t="shared" si="2"/>
        <v>4.33</v>
      </c>
      <c r="K95" s="16" t="str">
        <f>IF(F95&lt;&gt;"",IF(F95&gt;Lists!$L$10,"Late","On Time"),"")</f>
        <v>On Time</v>
      </c>
      <c r="L95" s="16" t="str">
        <f>IF(G95&lt;&gt;"",IF(G95&lt;Lists!$L$11,"Early","On Time"),"")</f>
        <v>Early</v>
      </c>
      <c r="M95" s="9" t="str">
        <f t="shared" si="3"/>
        <v>HD +Early Exit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</row>
    <row r="96" spans="1:45" x14ac:dyDescent="0.3">
      <c r="A96" s="18">
        <v>46253</v>
      </c>
      <c r="B96" s="9" t="s">
        <v>389</v>
      </c>
      <c r="C96" s="9" t="str">
        <f>IFERROR(INDEX('Employee Master'!$B$10:$B$109,MATCH(B96,'Employee Master'!$A$10:$A$109,0)),"")</f>
        <v/>
      </c>
      <c r="D96" s="9" t="str">
        <f>IFERROR(INDEX('Employee Master'!$H$10:$H$109,MATCH(B96,'Employee Master'!$A$10:$A$109,0)),"")</f>
        <v/>
      </c>
      <c r="E96" s="16" t="s">
        <v>42</v>
      </c>
      <c r="F96" s="19">
        <v>0.390277777777778</v>
      </c>
      <c r="G96" s="19">
        <v>0.75347222222222199</v>
      </c>
      <c r="H96" s="16">
        <v>0</v>
      </c>
      <c r="I96" s="9"/>
      <c r="J96" s="16">
        <f t="shared" si="2"/>
        <v>8.7200000000000006</v>
      </c>
      <c r="K96" s="16" t="str">
        <f>IF(F96&lt;&gt;"",IF(F96&gt;Lists!$L$10,"Late","On Time"),"")</f>
        <v>On Time</v>
      </c>
      <c r="L96" s="16" t="str">
        <f>IF(G96&lt;&gt;"",IF(G96&lt;Lists!$L$11,"Early","On Time"),"")</f>
        <v>On Time</v>
      </c>
      <c r="M96" s="9" t="str">
        <f t="shared" si="3"/>
        <v>P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</row>
    <row r="97" spans="1:45" x14ac:dyDescent="0.3">
      <c r="A97" s="18">
        <v>46253</v>
      </c>
      <c r="B97" s="9" t="s">
        <v>390</v>
      </c>
      <c r="C97" s="9" t="str">
        <f>IFERROR(INDEX('Employee Master'!$B$10:$B$109,MATCH(B97,'Employee Master'!$A$10:$A$109,0)),"")</f>
        <v/>
      </c>
      <c r="D97" s="9" t="str">
        <f>IFERROR(INDEX('Employee Master'!$H$10:$H$109,MATCH(B97,'Employee Master'!$A$10:$A$109,0)),"")</f>
        <v/>
      </c>
      <c r="E97" s="16" t="s">
        <v>42</v>
      </c>
      <c r="F97" s="19">
        <v>0.38750000000000001</v>
      </c>
      <c r="G97" s="19">
        <v>0.76388888888888895</v>
      </c>
      <c r="H97" s="16">
        <v>0</v>
      </c>
      <c r="I97" s="9"/>
      <c r="J97" s="16">
        <f t="shared" si="2"/>
        <v>9.0299999999999994</v>
      </c>
      <c r="K97" s="16" t="str">
        <f>IF(F97&lt;&gt;"",IF(F97&gt;Lists!$L$10,"Late","On Time"),"")</f>
        <v>On Time</v>
      </c>
      <c r="L97" s="16" t="str">
        <f>IF(G97&lt;&gt;"",IF(G97&lt;Lists!$L$11,"Early","On Time"),"")</f>
        <v>On Time</v>
      </c>
      <c r="M97" s="9" t="str">
        <f t="shared" si="3"/>
        <v>P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</row>
    <row r="98" spans="1:45" x14ac:dyDescent="0.3">
      <c r="A98" s="18">
        <v>46253</v>
      </c>
      <c r="B98" s="9" t="s">
        <v>391</v>
      </c>
      <c r="C98" s="9" t="str">
        <f>IFERROR(INDEX('Employee Master'!$B$10:$B$109,MATCH(B98,'Employee Master'!$A$10:$A$109,0)),"")</f>
        <v/>
      </c>
      <c r="D98" s="9" t="str">
        <f>IFERROR(INDEX('Employee Master'!$H$10:$H$109,MATCH(B98,'Employee Master'!$A$10:$A$109,0)),"")</f>
        <v/>
      </c>
      <c r="E98" s="16" t="s">
        <v>42</v>
      </c>
      <c r="F98" s="19">
        <v>0.38750000000000001</v>
      </c>
      <c r="G98" s="19">
        <v>0.75694444444444398</v>
      </c>
      <c r="H98" s="16">
        <v>0</v>
      </c>
      <c r="I98" s="9"/>
      <c r="J98" s="16">
        <f t="shared" si="2"/>
        <v>8.8699999999999992</v>
      </c>
      <c r="K98" s="16" t="str">
        <f>IF(F98&lt;&gt;"",IF(F98&gt;Lists!$L$10,"Late","On Time"),"")</f>
        <v>On Time</v>
      </c>
      <c r="L98" s="16" t="str">
        <f>IF(G98&lt;&gt;"",IF(G98&lt;Lists!$L$11,"Early","On Time"),"")</f>
        <v>On Time</v>
      </c>
      <c r="M98" s="9" t="str">
        <f t="shared" si="3"/>
        <v>P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</row>
    <row r="99" spans="1:45" x14ac:dyDescent="0.3">
      <c r="A99" s="18">
        <v>46253</v>
      </c>
      <c r="B99" s="9" t="s">
        <v>392</v>
      </c>
      <c r="C99" s="9" t="str">
        <f>IFERROR(INDEX('Employee Master'!$B$10:$B$109,MATCH(B99,'Employee Master'!$A$10:$A$109,0)),"")</f>
        <v/>
      </c>
      <c r="D99" s="9" t="str">
        <f>IFERROR(INDEX('Employee Master'!$H$10:$H$109,MATCH(B99,'Employee Master'!$A$10:$A$109,0)),"")</f>
        <v/>
      </c>
      <c r="E99" s="16" t="s">
        <v>46</v>
      </c>
      <c r="F99" s="19"/>
      <c r="G99" s="19"/>
      <c r="H99" s="16">
        <v>0</v>
      </c>
      <c r="I99" s="9"/>
      <c r="J99" s="16" t="str">
        <f t="shared" si="2"/>
        <v/>
      </c>
      <c r="K99" s="16" t="str">
        <f>IF(F99&lt;&gt;"",IF(F99&gt;Lists!$L$10,"Late","On Time"),"")</f>
        <v/>
      </c>
      <c r="L99" s="16" t="str">
        <f>IF(G99&lt;&gt;"",IF(G99&lt;Lists!$L$11,"Early","On Time"),"")</f>
        <v/>
      </c>
      <c r="M99" s="9" t="str">
        <f t="shared" si="3"/>
        <v>WO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</row>
    <row r="100" spans="1:45" x14ac:dyDescent="0.3">
      <c r="A100" s="18">
        <v>46253</v>
      </c>
      <c r="B100" s="9" t="s">
        <v>393</v>
      </c>
      <c r="C100" s="9" t="str">
        <f>IFERROR(INDEX('Employee Master'!$B$10:$B$109,MATCH(B100,'Employee Master'!$A$10:$A$109,0)),"")</f>
        <v/>
      </c>
      <c r="D100" s="9" t="str">
        <f>IFERROR(INDEX('Employee Master'!$H$10:$H$109,MATCH(B100,'Employee Master'!$A$10:$A$109,0)),"")</f>
        <v/>
      </c>
      <c r="E100" s="16" t="s">
        <v>42</v>
      </c>
      <c r="F100" s="19">
        <v>0.38194444444444398</v>
      </c>
      <c r="G100" s="19">
        <v>0.77430555555555602</v>
      </c>
      <c r="H100" s="16">
        <v>0</v>
      </c>
      <c r="I100" s="9"/>
      <c r="J100" s="16">
        <f t="shared" si="2"/>
        <v>9.42</v>
      </c>
      <c r="K100" s="16" t="str">
        <f>IF(F100&lt;&gt;"",IF(F100&gt;Lists!$L$10,"Late","On Time"),"")</f>
        <v>On Time</v>
      </c>
      <c r="L100" s="16" t="str">
        <f>IF(G100&lt;&gt;"",IF(G100&lt;Lists!$L$11,"Early","On Time"),"")</f>
        <v>On Time</v>
      </c>
      <c r="M100" s="9" t="str">
        <f t="shared" si="3"/>
        <v>P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</row>
    <row r="101" spans="1:45" x14ac:dyDescent="0.3">
      <c r="A101" s="18">
        <v>46253</v>
      </c>
      <c r="B101" s="9" t="s">
        <v>394</v>
      </c>
      <c r="C101" s="9" t="str">
        <f>IFERROR(INDEX('Employee Master'!$B$10:$B$109,MATCH(B101,'Employee Master'!$A$10:$A$109,0)),"")</f>
        <v/>
      </c>
      <c r="D101" s="9" t="str">
        <f>IFERROR(INDEX('Employee Master'!$H$10:$H$109,MATCH(B101,'Employee Master'!$A$10:$A$109,0)),"")</f>
        <v/>
      </c>
      <c r="E101" s="16" t="s">
        <v>42</v>
      </c>
      <c r="F101" s="19">
        <v>0.38194444444444398</v>
      </c>
      <c r="G101" s="19">
        <v>0.75</v>
      </c>
      <c r="H101" s="16">
        <v>0</v>
      </c>
      <c r="I101" s="9"/>
      <c r="J101" s="16">
        <f t="shared" si="2"/>
        <v>8.83</v>
      </c>
      <c r="K101" s="16" t="str">
        <f>IF(F101&lt;&gt;"",IF(F101&gt;Lists!$L$10,"Late","On Time"),"")</f>
        <v>On Time</v>
      </c>
      <c r="L101" s="16" t="str">
        <f>IF(G101&lt;&gt;"",IF(G101&lt;Lists!$L$11,"Early","On Time"),"")</f>
        <v>On Time</v>
      </c>
      <c r="M101" s="9" t="str">
        <f t="shared" si="3"/>
        <v>P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</row>
    <row r="102" spans="1:45" x14ac:dyDescent="0.3">
      <c r="A102" s="18">
        <v>46253</v>
      </c>
      <c r="B102" s="9" t="s">
        <v>395</v>
      </c>
      <c r="C102" s="9" t="str">
        <f>IFERROR(INDEX('Employee Master'!$B$10:$B$109,MATCH(B102,'Employee Master'!$A$10:$A$109,0)),"")</f>
        <v/>
      </c>
      <c r="D102" s="9" t="str">
        <f>IFERROR(INDEX('Employee Master'!$H$10:$H$109,MATCH(B102,'Employee Master'!$A$10:$A$109,0)),"")</f>
        <v/>
      </c>
      <c r="E102" s="16" t="s">
        <v>42</v>
      </c>
      <c r="F102" s="19">
        <v>0.38750000000000001</v>
      </c>
      <c r="G102" s="19">
        <v>0.76388888888888895</v>
      </c>
      <c r="H102" s="16">
        <v>0</v>
      </c>
      <c r="I102" s="9"/>
      <c r="J102" s="16">
        <f t="shared" si="2"/>
        <v>9.0299999999999994</v>
      </c>
      <c r="K102" s="16" t="str">
        <f>IF(F102&lt;&gt;"",IF(F102&gt;Lists!$L$10,"Late","On Time"),"")</f>
        <v>On Time</v>
      </c>
      <c r="L102" s="16" t="str">
        <f>IF(G102&lt;&gt;"",IF(G102&lt;Lists!$L$11,"Early","On Time"),"")</f>
        <v>On Time</v>
      </c>
      <c r="M102" s="9" t="str">
        <f t="shared" si="3"/>
        <v>P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</row>
    <row r="103" spans="1:45" x14ac:dyDescent="0.3">
      <c r="A103" s="18">
        <v>46253</v>
      </c>
      <c r="B103" s="9" t="s">
        <v>396</v>
      </c>
      <c r="C103" s="9" t="str">
        <f>IFERROR(INDEX('Employee Master'!$B$10:$B$109,MATCH(B103,'Employee Master'!$A$10:$A$109,0)),"")</f>
        <v/>
      </c>
      <c r="D103" s="9" t="str">
        <f>IFERROR(INDEX('Employee Master'!$H$10:$H$109,MATCH(B103,'Employee Master'!$A$10:$A$109,0)),"")</f>
        <v/>
      </c>
      <c r="E103" s="16" t="s">
        <v>42</v>
      </c>
      <c r="F103" s="19">
        <v>0.37847222222222199</v>
      </c>
      <c r="G103" s="19">
        <v>0.75347222222222199</v>
      </c>
      <c r="H103" s="16">
        <v>2.5</v>
      </c>
      <c r="I103" s="9"/>
      <c r="J103" s="16">
        <f t="shared" si="2"/>
        <v>9</v>
      </c>
      <c r="K103" s="16" t="str">
        <f>IF(F103&lt;&gt;"",IF(F103&gt;Lists!$L$10,"Late","On Time"),"")</f>
        <v>On Time</v>
      </c>
      <c r="L103" s="16" t="str">
        <f>IF(G103&lt;&gt;"",IF(G103&lt;Lists!$L$11,"Early","On Time"),"")</f>
        <v>On Time</v>
      </c>
      <c r="M103" s="9" t="str">
        <f t="shared" si="3"/>
        <v>P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</row>
    <row r="104" spans="1:45" x14ac:dyDescent="0.3">
      <c r="A104" s="18">
        <v>46253</v>
      </c>
      <c r="B104" s="9" t="s">
        <v>397</v>
      </c>
      <c r="C104" s="9" t="str">
        <f>IFERROR(INDEX('Employee Master'!$B$10:$B$109,MATCH(B104,'Employee Master'!$A$10:$A$109,0)),"")</f>
        <v/>
      </c>
      <c r="D104" s="9" t="str">
        <f>IFERROR(INDEX('Employee Master'!$H$10:$H$109,MATCH(B104,'Employee Master'!$A$10:$A$109,0)),"")</f>
        <v/>
      </c>
      <c r="E104" s="16" t="s">
        <v>42</v>
      </c>
      <c r="F104" s="19">
        <v>0.38750000000000001</v>
      </c>
      <c r="G104" s="19">
        <v>0.75</v>
      </c>
      <c r="H104" s="16">
        <v>3</v>
      </c>
      <c r="I104" s="9"/>
      <c r="J104" s="16">
        <f t="shared" si="2"/>
        <v>8.6999999999999993</v>
      </c>
      <c r="K104" s="16" t="str">
        <f>IF(F104&lt;&gt;"",IF(F104&gt;Lists!$L$10,"Late","On Time"),"")</f>
        <v>On Time</v>
      </c>
      <c r="L104" s="16" t="str">
        <f>IF(G104&lt;&gt;"",IF(G104&lt;Lists!$L$11,"Early","On Time"),"")</f>
        <v>On Time</v>
      </c>
      <c r="M104" s="9" t="str">
        <f t="shared" si="3"/>
        <v>P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</row>
    <row r="105" spans="1:45" x14ac:dyDescent="0.3">
      <c r="A105" s="18">
        <v>46253</v>
      </c>
      <c r="B105" s="9" t="s">
        <v>398</v>
      </c>
      <c r="C105" s="9" t="str">
        <f>IFERROR(INDEX('Employee Master'!$B$10:$B$109,MATCH(B105,'Employee Master'!$A$10:$A$109,0)),"")</f>
        <v/>
      </c>
      <c r="D105" s="9" t="str">
        <f>IFERROR(INDEX('Employee Master'!$H$10:$H$109,MATCH(B105,'Employee Master'!$A$10:$A$109,0)),"")</f>
        <v/>
      </c>
      <c r="E105" s="16" t="s">
        <v>42</v>
      </c>
      <c r="F105" s="19">
        <v>0.38750000000000001</v>
      </c>
      <c r="G105" s="19">
        <v>0.75347222222222199</v>
      </c>
      <c r="H105" s="16">
        <v>0</v>
      </c>
      <c r="I105" s="9"/>
      <c r="J105" s="16">
        <f t="shared" si="2"/>
        <v>8.7799999999999994</v>
      </c>
      <c r="K105" s="16" t="str">
        <f>IF(F105&lt;&gt;"",IF(F105&gt;Lists!$L$10,"Late","On Time"),"")</f>
        <v>On Time</v>
      </c>
      <c r="L105" s="16" t="str">
        <f>IF(G105&lt;&gt;"",IF(G105&lt;Lists!$L$11,"Early","On Time"),"")</f>
        <v>On Time</v>
      </c>
      <c r="M105" s="9" t="str">
        <f t="shared" si="3"/>
        <v>P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</row>
    <row r="106" spans="1:45" x14ac:dyDescent="0.3">
      <c r="A106" s="18">
        <v>46253</v>
      </c>
      <c r="B106" s="9" t="s">
        <v>399</v>
      </c>
      <c r="C106" s="9" t="str">
        <f>IFERROR(INDEX('Employee Master'!$B$10:$B$109,MATCH(B106,'Employee Master'!$A$10:$A$109,0)),"")</f>
        <v/>
      </c>
      <c r="D106" s="9" t="str">
        <f>IFERROR(INDEX('Employee Master'!$H$10:$H$109,MATCH(B106,'Employee Master'!$A$10:$A$109,0)),"")</f>
        <v/>
      </c>
      <c r="E106" s="16" t="s">
        <v>42</v>
      </c>
      <c r="F106" s="19">
        <v>0.38194444444444398</v>
      </c>
      <c r="G106" s="19">
        <v>0.77430555555555602</v>
      </c>
      <c r="H106" s="16">
        <v>0</v>
      </c>
      <c r="I106" s="9"/>
      <c r="J106" s="16">
        <f t="shared" si="2"/>
        <v>9.42</v>
      </c>
      <c r="K106" s="16" t="str">
        <f>IF(F106&lt;&gt;"",IF(F106&gt;Lists!$L$10,"Late","On Time"),"")</f>
        <v>On Time</v>
      </c>
      <c r="L106" s="16" t="str">
        <f>IF(G106&lt;&gt;"",IF(G106&lt;Lists!$L$11,"Early","On Time"),"")</f>
        <v>On Time</v>
      </c>
      <c r="M106" s="9" t="str">
        <f t="shared" si="3"/>
        <v>P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</row>
    <row r="107" spans="1:45" x14ac:dyDescent="0.3">
      <c r="A107" s="18">
        <v>46253</v>
      </c>
      <c r="B107" s="9" t="s">
        <v>400</v>
      </c>
      <c r="C107" s="9" t="str">
        <f>IFERROR(INDEX('Employee Master'!$B$10:$B$109,MATCH(B107,'Employee Master'!$A$10:$A$109,0)),"")</f>
        <v/>
      </c>
      <c r="D107" s="9" t="str">
        <f>IFERROR(INDEX('Employee Master'!$H$10:$H$109,MATCH(B107,'Employee Master'!$A$10:$A$109,0)),"")</f>
        <v/>
      </c>
      <c r="E107" s="16" t="s">
        <v>48</v>
      </c>
      <c r="F107" s="19">
        <v>0.39236111111111099</v>
      </c>
      <c r="G107" s="19">
        <v>0.5625</v>
      </c>
      <c r="H107" s="16">
        <v>0</v>
      </c>
      <c r="I107" s="9"/>
      <c r="J107" s="16">
        <f t="shared" si="2"/>
        <v>4.08</v>
      </c>
      <c r="K107" s="16" t="str">
        <f>IF(F107&lt;&gt;"",IF(F107&gt;Lists!$L$10,"Late","On Time"),"")</f>
        <v>On Time</v>
      </c>
      <c r="L107" s="16" t="str">
        <f>IF(G107&lt;&gt;"",IF(G107&lt;Lists!$L$11,"Early","On Time"),"")</f>
        <v>Early</v>
      </c>
      <c r="M107" s="9" t="str">
        <f t="shared" si="3"/>
        <v>HD +Early Exit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</row>
    <row r="108" spans="1:45" x14ac:dyDescent="0.3">
      <c r="A108" s="18">
        <v>46253</v>
      </c>
      <c r="B108" s="9" t="s">
        <v>401</v>
      </c>
      <c r="C108" s="9" t="str">
        <f>IFERROR(INDEX('Employee Master'!$B$10:$B$109,MATCH(B108,'Employee Master'!$A$10:$A$109,0)),"")</f>
        <v/>
      </c>
      <c r="D108" s="9" t="str">
        <f>IFERROR(INDEX('Employee Master'!$H$10:$H$109,MATCH(B108,'Employee Master'!$A$10:$A$109,0)),"")</f>
        <v/>
      </c>
      <c r="E108" s="16" t="s">
        <v>46</v>
      </c>
      <c r="F108" s="19"/>
      <c r="G108" s="19"/>
      <c r="H108" s="16">
        <v>0</v>
      </c>
      <c r="I108" s="9"/>
      <c r="J108" s="16" t="str">
        <f t="shared" si="2"/>
        <v/>
      </c>
      <c r="K108" s="16" t="str">
        <f>IF(F108&lt;&gt;"",IF(F108&gt;Lists!$L$10,"Late","On Time"),"")</f>
        <v/>
      </c>
      <c r="L108" s="16" t="str">
        <f>IF(G108&lt;&gt;"",IF(G108&lt;Lists!$L$11,"Early","On Time"),"")</f>
        <v/>
      </c>
      <c r="M108" s="9" t="str">
        <f t="shared" si="3"/>
        <v>WO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</row>
    <row r="109" spans="1:45" x14ac:dyDescent="0.3">
      <c r="A109" s="18">
        <v>46253</v>
      </c>
      <c r="B109" s="9" t="s">
        <v>402</v>
      </c>
      <c r="C109" s="9" t="str">
        <f>IFERROR(INDEX('Employee Master'!$B$10:$B$109,MATCH(B109,'Employee Master'!$A$10:$A$109,0)),"")</f>
        <v/>
      </c>
      <c r="D109" s="9" t="str">
        <f>IFERROR(INDEX('Employee Master'!$H$10:$H$109,MATCH(B109,'Employee Master'!$A$10:$A$109,0)),"")</f>
        <v/>
      </c>
      <c r="E109" s="16" t="s">
        <v>42</v>
      </c>
      <c r="F109" s="19">
        <v>0.38194444444444398</v>
      </c>
      <c r="G109" s="19">
        <v>0.77430555555555602</v>
      </c>
      <c r="H109" s="16">
        <v>0</v>
      </c>
      <c r="I109" s="9"/>
      <c r="J109" s="16">
        <f t="shared" si="2"/>
        <v>9.42</v>
      </c>
      <c r="K109" s="16" t="str">
        <f>IF(F109&lt;&gt;"",IF(F109&gt;Lists!$L$10,"Late","On Time"),"")</f>
        <v>On Time</v>
      </c>
      <c r="L109" s="16" t="str">
        <f>IF(G109&lt;&gt;"",IF(G109&lt;Lists!$L$11,"Early","On Time"),"")</f>
        <v>On Time</v>
      </c>
      <c r="M109" s="9" t="str">
        <f t="shared" si="3"/>
        <v>P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</row>
    <row r="110" spans="1:45" x14ac:dyDescent="0.3">
      <c r="A110" s="18">
        <v>46253</v>
      </c>
      <c r="B110" s="9" t="s">
        <v>403</v>
      </c>
      <c r="C110" s="9" t="str">
        <f>IFERROR(INDEX('Employee Master'!$B$10:$B$109,MATCH(B110,'Employee Master'!$A$10:$A$109,0)),"")</f>
        <v/>
      </c>
      <c r="D110" s="9" t="str">
        <f>IFERROR(INDEX('Employee Master'!$H$10:$H$109,MATCH(B110,'Employee Master'!$A$10:$A$109,0)),"")</f>
        <v/>
      </c>
      <c r="E110" s="16" t="s">
        <v>42</v>
      </c>
      <c r="F110" s="19">
        <v>0.38541666666666702</v>
      </c>
      <c r="G110" s="19">
        <v>0.75347222222222199</v>
      </c>
      <c r="H110" s="16">
        <v>0</v>
      </c>
      <c r="I110" s="9"/>
      <c r="J110" s="16">
        <f t="shared" si="2"/>
        <v>8.83</v>
      </c>
      <c r="K110" s="16" t="str">
        <f>IF(F110&lt;&gt;"",IF(F110&gt;Lists!$L$10,"Late","On Time"),"")</f>
        <v>On Time</v>
      </c>
      <c r="L110" s="16" t="str">
        <f>IF(G110&lt;&gt;"",IF(G110&lt;Lists!$L$11,"Early","On Time"),"")</f>
        <v>On Time</v>
      </c>
      <c r="M110" s="9" t="str">
        <f t="shared" si="3"/>
        <v>P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</row>
    <row r="111" spans="1:45" x14ac:dyDescent="0.3">
      <c r="A111" s="18">
        <v>46253</v>
      </c>
      <c r="B111" s="9" t="s">
        <v>404</v>
      </c>
      <c r="C111" s="9" t="str">
        <f>IFERROR(INDEX('Employee Master'!$B$10:$B$109,MATCH(B111,'Employee Master'!$A$10:$A$109,0)),"")</f>
        <v/>
      </c>
      <c r="D111" s="9" t="str">
        <f>IFERROR(INDEX('Employee Master'!$H$10:$H$109,MATCH(B111,'Employee Master'!$A$10:$A$109,0)),"")</f>
        <v/>
      </c>
      <c r="E111" s="16" t="s">
        <v>42</v>
      </c>
      <c r="F111" s="19">
        <v>0.38750000000000001</v>
      </c>
      <c r="G111" s="19">
        <v>0.75</v>
      </c>
      <c r="H111" s="16">
        <v>2</v>
      </c>
      <c r="I111" s="9"/>
      <c r="J111" s="16">
        <f t="shared" si="2"/>
        <v>8.6999999999999993</v>
      </c>
      <c r="K111" s="16" t="str">
        <f>IF(F111&lt;&gt;"",IF(F111&gt;Lists!$L$10,"Late","On Time"),"")</f>
        <v>On Time</v>
      </c>
      <c r="L111" s="16" t="str">
        <f>IF(G111&lt;&gt;"",IF(G111&lt;Lists!$L$11,"Early","On Time"),"")</f>
        <v>On Time</v>
      </c>
      <c r="M111" s="9" t="str">
        <f t="shared" si="3"/>
        <v>P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</row>
    <row r="112" spans="1:45" x14ac:dyDescent="0.3">
      <c r="A112" s="18">
        <v>46254</v>
      </c>
      <c r="B112" s="9" t="s">
        <v>405</v>
      </c>
      <c r="C112" s="9" t="str">
        <f>IFERROR(INDEX('Employee Master'!$B$10:$B$109,MATCH(B112,'Employee Master'!$A$10:$A$109,0)),"")</f>
        <v/>
      </c>
      <c r="D112" s="9" t="str">
        <f>IFERROR(INDEX('Employee Master'!$H$10:$H$109,MATCH(B112,'Employee Master'!$A$10:$A$109,0)),"")</f>
        <v/>
      </c>
      <c r="E112" s="16" t="s">
        <v>42</v>
      </c>
      <c r="F112" s="19">
        <v>0.390277777777778</v>
      </c>
      <c r="G112" s="19">
        <v>0.75347222222222199</v>
      </c>
      <c r="H112" s="16">
        <v>0</v>
      </c>
      <c r="I112" s="9"/>
      <c r="J112" s="16">
        <f t="shared" si="2"/>
        <v>8.7200000000000006</v>
      </c>
      <c r="K112" s="16" t="str">
        <f>IF(F112&lt;&gt;"",IF(F112&gt;Lists!$L$10,"Late","On Time"),"")</f>
        <v>On Time</v>
      </c>
      <c r="L112" s="16" t="str">
        <f>IF(G112&lt;&gt;"",IF(G112&lt;Lists!$L$11,"Early","On Time"),"")</f>
        <v>On Time</v>
      </c>
      <c r="M112" s="9" t="str">
        <f t="shared" si="3"/>
        <v>P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</row>
    <row r="113" spans="1:45" x14ac:dyDescent="0.3">
      <c r="A113" s="18">
        <v>46254</v>
      </c>
      <c r="B113" s="9" t="s">
        <v>406</v>
      </c>
      <c r="C113" s="9" t="str">
        <f>IFERROR(INDEX('Employee Master'!$B$10:$B$109,MATCH(B113,'Employee Master'!$A$10:$A$109,0)),"")</f>
        <v/>
      </c>
      <c r="D113" s="9" t="str">
        <f>IFERROR(INDEX('Employee Master'!$H$10:$H$109,MATCH(B113,'Employee Master'!$A$10:$A$109,0)),"")</f>
        <v/>
      </c>
      <c r="E113" s="16" t="s">
        <v>42</v>
      </c>
      <c r="F113" s="19">
        <v>0.390277777777778</v>
      </c>
      <c r="G113" s="19">
        <v>0.75</v>
      </c>
      <c r="H113" s="16">
        <v>2</v>
      </c>
      <c r="I113" s="9"/>
      <c r="J113" s="16">
        <f t="shared" si="2"/>
        <v>8.6300000000000008</v>
      </c>
      <c r="K113" s="16" t="str">
        <f>IF(F113&lt;&gt;"",IF(F113&gt;Lists!$L$10,"Late","On Time"),"")</f>
        <v>On Time</v>
      </c>
      <c r="L113" s="16" t="str">
        <f>IF(G113&lt;&gt;"",IF(G113&lt;Lists!$L$11,"Early","On Time"),"")</f>
        <v>On Time</v>
      </c>
      <c r="M113" s="9" t="str">
        <f t="shared" si="3"/>
        <v>P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</row>
    <row r="114" spans="1:45" x14ac:dyDescent="0.3">
      <c r="A114" s="18">
        <v>46254</v>
      </c>
      <c r="B114" s="9" t="s">
        <v>407</v>
      </c>
      <c r="C114" s="9" t="str">
        <f>IFERROR(INDEX('Employee Master'!$B$10:$B$109,MATCH(B114,'Employee Master'!$A$10:$A$109,0)),"")</f>
        <v/>
      </c>
      <c r="D114" s="9" t="str">
        <f>IFERROR(INDEX('Employee Master'!$H$10:$H$109,MATCH(B114,'Employee Master'!$A$10:$A$109,0)),"")</f>
        <v/>
      </c>
      <c r="E114" s="16" t="s">
        <v>42</v>
      </c>
      <c r="F114" s="19">
        <v>0.38541666666666702</v>
      </c>
      <c r="G114" s="19">
        <v>0.75694444444444398</v>
      </c>
      <c r="H114" s="16">
        <v>0</v>
      </c>
      <c r="I114" s="9"/>
      <c r="J114" s="16">
        <f t="shared" si="2"/>
        <v>8.92</v>
      </c>
      <c r="K114" s="16" t="str">
        <f>IF(F114&lt;&gt;"",IF(F114&gt;Lists!$L$10,"Late","On Time"),"")</f>
        <v>On Time</v>
      </c>
      <c r="L114" s="16" t="str">
        <f>IF(G114&lt;&gt;"",IF(G114&lt;Lists!$L$11,"Early","On Time"),"")</f>
        <v>On Time</v>
      </c>
      <c r="M114" s="9" t="str">
        <f t="shared" si="3"/>
        <v>P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</row>
    <row r="115" spans="1:45" x14ac:dyDescent="0.3">
      <c r="A115" s="18">
        <v>46254</v>
      </c>
      <c r="B115" s="9" t="s">
        <v>408</v>
      </c>
      <c r="C115" s="9" t="str">
        <f>IFERROR(INDEX('Employee Master'!$B$10:$B$109,MATCH(B115,'Employee Master'!$A$10:$A$109,0)),"")</f>
        <v/>
      </c>
      <c r="D115" s="9" t="str">
        <f>IFERROR(INDEX('Employee Master'!$H$10:$H$109,MATCH(B115,'Employee Master'!$A$10:$A$109,0)),"")</f>
        <v/>
      </c>
      <c r="E115" s="16" t="s">
        <v>42</v>
      </c>
      <c r="F115" s="19">
        <v>0.38750000000000001</v>
      </c>
      <c r="G115" s="19">
        <v>0.77430555555555602</v>
      </c>
      <c r="H115" s="16">
        <v>0</v>
      </c>
      <c r="I115" s="9"/>
      <c r="J115" s="16">
        <f t="shared" si="2"/>
        <v>9.2799999999999994</v>
      </c>
      <c r="K115" s="16" t="str">
        <f>IF(F115&lt;&gt;"",IF(F115&gt;Lists!$L$10,"Late","On Time"),"")</f>
        <v>On Time</v>
      </c>
      <c r="L115" s="16" t="str">
        <f>IF(G115&lt;&gt;"",IF(G115&lt;Lists!$L$11,"Early","On Time"),"")</f>
        <v>On Time</v>
      </c>
      <c r="M115" s="9" t="str">
        <f t="shared" si="3"/>
        <v>P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</row>
    <row r="116" spans="1:45" x14ac:dyDescent="0.3">
      <c r="A116" s="18">
        <v>46254</v>
      </c>
      <c r="B116" s="9" t="s">
        <v>409</v>
      </c>
      <c r="C116" s="9" t="str">
        <f>IFERROR(INDEX('Employee Master'!$B$10:$B$109,MATCH(B116,'Employee Master'!$A$10:$A$109,0)),"")</f>
        <v/>
      </c>
      <c r="D116" s="9" t="str">
        <f>IFERROR(INDEX('Employee Master'!$H$10:$H$109,MATCH(B116,'Employee Master'!$A$10:$A$109,0)),"")</f>
        <v/>
      </c>
      <c r="E116" s="16" t="s">
        <v>42</v>
      </c>
      <c r="F116" s="19">
        <v>0.38750000000000001</v>
      </c>
      <c r="G116" s="19">
        <v>0.75694444444444398</v>
      </c>
      <c r="H116" s="16">
        <v>1.5</v>
      </c>
      <c r="I116" s="9"/>
      <c r="J116" s="16">
        <f t="shared" si="2"/>
        <v>8.8699999999999992</v>
      </c>
      <c r="K116" s="16" t="str">
        <f>IF(F116&lt;&gt;"",IF(F116&gt;Lists!$L$10,"Late","On Time"),"")</f>
        <v>On Time</v>
      </c>
      <c r="L116" s="16" t="str">
        <f>IF(G116&lt;&gt;"",IF(G116&lt;Lists!$L$11,"Early","On Time"),"")</f>
        <v>On Time</v>
      </c>
      <c r="M116" s="9" t="str">
        <f t="shared" si="3"/>
        <v>P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</row>
    <row r="117" spans="1:45" x14ac:dyDescent="0.3">
      <c r="A117" s="18">
        <v>46254</v>
      </c>
      <c r="B117" s="9" t="s">
        <v>410</v>
      </c>
      <c r="C117" s="9" t="str">
        <f>IFERROR(INDEX('Employee Master'!$B$10:$B$109,MATCH(B117,'Employee Master'!$A$10:$A$109,0)),"")</f>
        <v/>
      </c>
      <c r="D117" s="9" t="str">
        <f>IFERROR(INDEX('Employee Master'!$H$10:$H$109,MATCH(B117,'Employee Master'!$A$10:$A$109,0)),"")</f>
        <v/>
      </c>
      <c r="E117" s="16" t="s">
        <v>42</v>
      </c>
      <c r="F117" s="19">
        <v>0.39236111111111099</v>
      </c>
      <c r="G117" s="19">
        <v>0.76388888888888895</v>
      </c>
      <c r="H117" s="16">
        <v>1.5</v>
      </c>
      <c r="I117" s="9"/>
      <c r="J117" s="16">
        <f t="shared" si="2"/>
        <v>8.92</v>
      </c>
      <c r="K117" s="16" t="str">
        <f>IF(F117&lt;&gt;"",IF(F117&gt;Lists!$L$10,"Late","On Time"),"")</f>
        <v>On Time</v>
      </c>
      <c r="L117" s="16" t="str">
        <f>IF(G117&lt;&gt;"",IF(G117&lt;Lists!$L$11,"Early","On Time"),"")</f>
        <v>On Time</v>
      </c>
      <c r="M117" s="9" t="str">
        <f t="shared" si="3"/>
        <v>P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</row>
    <row r="118" spans="1:45" x14ac:dyDescent="0.3">
      <c r="A118" s="18">
        <v>46254</v>
      </c>
      <c r="B118" s="9" t="s">
        <v>411</v>
      </c>
      <c r="C118" s="9" t="str">
        <f>IFERROR(INDEX('Employee Master'!$B$10:$B$109,MATCH(B118,'Employee Master'!$A$10:$A$109,0)),"")</f>
        <v/>
      </c>
      <c r="D118" s="9" t="str">
        <f>IFERROR(INDEX('Employee Master'!$H$10:$H$109,MATCH(B118,'Employee Master'!$A$10:$A$109,0)),"")</f>
        <v/>
      </c>
      <c r="E118" s="16" t="s">
        <v>42</v>
      </c>
      <c r="F118" s="19">
        <v>0.38541666666666702</v>
      </c>
      <c r="G118" s="19">
        <v>0.75347222222222199</v>
      </c>
      <c r="H118" s="16">
        <v>0</v>
      </c>
      <c r="I118" s="9"/>
      <c r="J118" s="16">
        <f t="shared" si="2"/>
        <v>8.83</v>
      </c>
      <c r="K118" s="16" t="str">
        <f>IF(F118&lt;&gt;"",IF(F118&gt;Lists!$L$10,"Late","On Time"),"")</f>
        <v>On Time</v>
      </c>
      <c r="L118" s="16" t="str">
        <f>IF(G118&lt;&gt;"",IF(G118&lt;Lists!$L$11,"Early","On Time"),"")</f>
        <v>On Time</v>
      </c>
      <c r="M118" s="9" t="str">
        <f t="shared" si="3"/>
        <v>P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</row>
    <row r="119" spans="1:45" x14ac:dyDescent="0.3">
      <c r="A119" s="18">
        <v>46254</v>
      </c>
      <c r="B119" s="9" t="s">
        <v>412</v>
      </c>
      <c r="C119" s="9" t="str">
        <f>IFERROR(INDEX('Employee Master'!$B$10:$B$109,MATCH(B119,'Employee Master'!$A$10:$A$109,0)),"")</f>
        <v/>
      </c>
      <c r="D119" s="9" t="str">
        <f>IFERROR(INDEX('Employee Master'!$H$10:$H$109,MATCH(B119,'Employee Master'!$A$10:$A$109,0)),"")</f>
        <v/>
      </c>
      <c r="E119" s="16" t="s">
        <v>42</v>
      </c>
      <c r="F119" s="19">
        <v>0.39236111111111099</v>
      </c>
      <c r="G119" s="19">
        <v>0.76388888888888895</v>
      </c>
      <c r="H119" s="16">
        <v>0</v>
      </c>
      <c r="I119" s="9"/>
      <c r="J119" s="16">
        <f t="shared" si="2"/>
        <v>8.92</v>
      </c>
      <c r="K119" s="16" t="str">
        <f>IF(F119&lt;&gt;"",IF(F119&gt;Lists!$L$10,"Late","On Time"),"")</f>
        <v>On Time</v>
      </c>
      <c r="L119" s="16" t="str">
        <f>IF(G119&lt;&gt;"",IF(G119&lt;Lists!$L$11,"Early","On Time"),"")</f>
        <v>On Time</v>
      </c>
      <c r="M119" s="9" t="str">
        <f t="shared" si="3"/>
        <v>P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</row>
    <row r="120" spans="1:45" x14ac:dyDescent="0.3">
      <c r="A120" s="18">
        <v>46254</v>
      </c>
      <c r="B120" s="9" t="s">
        <v>413</v>
      </c>
      <c r="C120" s="9" t="str">
        <f>IFERROR(INDEX('Employee Master'!$B$10:$B$109,MATCH(B120,'Employee Master'!$A$10:$A$109,0)),"")</f>
        <v/>
      </c>
      <c r="D120" s="9" t="str">
        <f>IFERROR(INDEX('Employee Master'!$H$10:$H$109,MATCH(B120,'Employee Master'!$A$10:$A$109,0)),"")</f>
        <v/>
      </c>
      <c r="E120" s="16" t="s">
        <v>42</v>
      </c>
      <c r="F120" s="19">
        <v>0.37847222222222199</v>
      </c>
      <c r="G120" s="19">
        <v>0.75694444444444398</v>
      </c>
      <c r="H120" s="16">
        <v>0</v>
      </c>
      <c r="I120" s="9"/>
      <c r="J120" s="16">
        <f t="shared" si="2"/>
        <v>9.08</v>
      </c>
      <c r="K120" s="16" t="str">
        <f>IF(F120&lt;&gt;"",IF(F120&gt;Lists!$L$10,"Late","On Time"),"")</f>
        <v>On Time</v>
      </c>
      <c r="L120" s="16" t="str">
        <f>IF(G120&lt;&gt;"",IF(G120&lt;Lists!$L$11,"Early","On Time"),"")</f>
        <v>On Time</v>
      </c>
      <c r="M120" s="9" t="str">
        <f t="shared" si="3"/>
        <v>P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</row>
    <row r="121" spans="1:45" x14ac:dyDescent="0.3">
      <c r="A121" s="18">
        <v>46254</v>
      </c>
      <c r="B121" s="9" t="s">
        <v>414</v>
      </c>
      <c r="C121" s="9" t="str">
        <f>IFERROR(INDEX('Employee Master'!$B$10:$B$109,MATCH(B121,'Employee Master'!$A$10:$A$109,0)),"")</f>
        <v/>
      </c>
      <c r="D121" s="9" t="str">
        <f>IFERROR(INDEX('Employee Master'!$H$10:$H$109,MATCH(B121,'Employee Master'!$A$10:$A$109,0)),"")</f>
        <v/>
      </c>
      <c r="E121" s="16" t="s">
        <v>42</v>
      </c>
      <c r="F121" s="19">
        <v>0.38194444444444398</v>
      </c>
      <c r="G121" s="19">
        <v>0.76388888888888895</v>
      </c>
      <c r="H121" s="16">
        <v>0</v>
      </c>
      <c r="I121" s="9"/>
      <c r="J121" s="16">
        <f t="shared" si="2"/>
        <v>9.17</v>
      </c>
      <c r="K121" s="16" t="str">
        <f>IF(F121&lt;&gt;"",IF(F121&gt;Lists!$L$10,"Late","On Time"),"")</f>
        <v>On Time</v>
      </c>
      <c r="L121" s="16" t="str">
        <f>IF(G121&lt;&gt;"",IF(G121&lt;Lists!$L$11,"Early","On Time"),"")</f>
        <v>On Time</v>
      </c>
      <c r="M121" s="9" t="str">
        <f t="shared" si="3"/>
        <v>P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</row>
    <row r="122" spans="1:45" x14ac:dyDescent="0.3">
      <c r="A122" s="18">
        <v>46254</v>
      </c>
      <c r="B122" s="9" t="s">
        <v>415</v>
      </c>
      <c r="C122" s="9" t="str">
        <f>IFERROR(INDEX('Employee Master'!$B$10:$B$109,MATCH(B122,'Employee Master'!$A$10:$A$109,0)),"")</f>
        <v/>
      </c>
      <c r="D122" s="9" t="str">
        <f>IFERROR(INDEX('Employee Master'!$H$10:$H$109,MATCH(B122,'Employee Master'!$A$10:$A$109,0)),"")</f>
        <v/>
      </c>
      <c r="E122" s="16" t="s">
        <v>42</v>
      </c>
      <c r="F122" s="19">
        <v>0.38194444444444398</v>
      </c>
      <c r="G122" s="19">
        <v>0.75347222222222199</v>
      </c>
      <c r="H122" s="16">
        <v>0</v>
      </c>
      <c r="I122" s="9"/>
      <c r="J122" s="16">
        <f t="shared" si="2"/>
        <v>8.92</v>
      </c>
      <c r="K122" s="16" t="str">
        <f>IF(F122&lt;&gt;"",IF(F122&gt;Lists!$L$10,"Late","On Time"),"")</f>
        <v>On Time</v>
      </c>
      <c r="L122" s="16" t="str">
        <f>IF(G122&lt;&gt;"",IF(G122&lt;Lists!$L$11,"Early","On Time"),"")</f>
        <v>On Time</v>
      </c>
      <c r="M122" s="9" t="str">
        <f t="shared" si="3"/>
        <v>P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</row>
    <row r="123" spans="1:45" x14ac:dyDescent="0.3">
      <c r="A123" s="18">
        <v>46254</v>
      </c>
      <c r="B123" s="9" t="s">
        <v>416</v>
      </c>
      <c r="C123" s="9" t="str">
        <f>IFERROR(INDEX('Employee Master'!$B$10:$B$109,MATCH(B123,'Employee Master'!$A$10:$A$109,0)),"")</f>
        <v/>
      </c>
      <c r="D123" s="9" t="str">
        <f>IFERROR(INDEX('Employee Master'!$H$10:$H$109,MATCH(B123,'Employee Master'!$A$10:$A$109,0)),"")</f>
        <v/>
      </c>
      <c r="E123" s="16" t="s">
        <v>42</v>
      </c>
      <c r="F123" s="19">
        <v>0.38541666666666702</v>
      </c>
      <c r="G123" s="19">
        <v>0.75</v>
      </c>
      <c r="H123" s="16">
        <v>0</v>
      </c>
      <c r="I123" s="9"/>
      <c r="J123" s="16">
        <f t="shared" si="2"/>
        <v>8.75</v>
      </c>
      <c r="K123" s="16" t="str">
        <f>IF(F123&lt;&gt;"",IF(F123&gt;Lists!$L$10,"Late","On Time"),"")</f>
        <v>On Time</v>
      </c>
      <c r="L123" s="16" t="str">
        <f>IF(G123&lt;&gt;"",IF(G123&lt;Lists!$L$11,"Early","On Time"),"")</f>
        <v>On Time</v>
      </c>
      <c r="M123" s="9" t="str">
        <f t="shared" si="3"/>
        <v>P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</row>
    <row r="124" spans="1:45" x14ac:dyDescent="0.3">
      <c r="A124" s="18">
        <v>46254</v>
      </c>
      <c r="B124" s="9" t="s">
        <v>417</v>
      </c>
      <c r="C124" s="9" t="str">
        <f>IFERROR(INDEX('Employee Master'!$B$10:$B$109,MATCH(B124,'Employee Master'!$A$10:$A$109,0)),"")</f>
        <v/>
      </c>
      <c r="D124" s="9" t="str">
        <f>IFERROR(INDEX('Employee Master'!$H$10:$H$109,MATCH(B124,'Employee Master'!$A$10:$A$109,0)),"")</f>
        <v/>
      </c>
      <c r="E124" s="16" t="s">
        <v>42</v>
      </c>
      <c r="F124" s="19">
        <v>0.38194444444444398</v>
      </c>
      <c r="G124" s="19">
        <v>0.75347222222222199</v>
      </c>
      <c r="H124" s="16">
        <v>0</v>
      </c>
      <c r="I124" s="9"/>
      <c r="J124" s="16">
        <f t="shared" si="2"/>
        <v>8.92</v>
      </c>
      <c r="K124" s="16" t="str">
        <f>IF(F124&lt;&gt;"",IF(F124&gt;Lists!$L$10,"Late","On Time"),"")</f>
        <v>On Time</v>
      </c>
      <c r="L124" s="16" t="str">
        <f>IF(G124&lt;&gt;"",IF(G124&lt;Lists!$L$11,"Early","On Time"),"")</f>
        <v>On Time</v>
      </c>
      <c r="M124" s="9" t="str">
        <f t="shared" si="3"/>
        <v>P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</row>
    <row r="125" spans="1:45" x14ac:dyDescent="0.3">
      <c r="A125" s="18">
        <v>46254</v>
      </c>
      <c r="B125" s="9" t="s">
        <v>418</v>
      </c>
      <c r="C125" s="9" t="str">
        <f>IFERROR(INDEX('Employee Master'!$B$10:$B$109,MATCH(B125,'Employee Master'!$A$10:$A$109,0)),"")</f>
        <v/>
      </c>
      <c r="D125" s="9" t="str">
        <f>IFERROR(INDEX('Employee Master'!$H$10:$H$109,MATCH(B125,'Employee Master'!$A$10:$A$109,0)),"")</f>
        <v/>
      </c>
      <c r="E125" s="16" t="s">
        <v>42</v>
      </c>
      <c r="F125" s="19">
        <v>0.37847222222222199</v>
      </c>
      <c r="G125" s="19">
        <v>0.77430555555555602</v>
      </c>
      <c r="H125" s="16">
        <v>2.5</v>
      </c>
      <c r="I125" s="9"/>
      <c r="J125" s="16">
        <f t="shared" si="2"/>
        <v>9.5</v>
      </c>
      <c r="K125" s="16" t="str">
        <f>IF(F125&lt;&gt;"",IF(F125&gt;Lists!$L$10,"Late","On Time"),"")</f>
        <v>On Time</v>
      </c>
      <c r="L125" s="16" t="str">
        <f>IF(G125&lt;&gt;"",IF(G125&lt;Lists!$L$11,"Early","On Time"),"")</f>
        <v>On Time</v>
      </c>
      <c r="M125" s="9" t="str">
        <f t="shared" si="3"/>
        <v>P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</row>
    <row r="126" spans="1:45" x14ac:dyDescent="0.3">
      <c r="A126" s="18">
        <v>46254</v>
      </c>
      <c r="B126" s="9" t="s">
        <v>419</v>
      </c>
      <c r="C126" s="9" t="str">
        <f>IFERROR(INDEX('Employee Master'!$B$10:$B$109,MATCH(B126,'Employee Master'!$A$10:$A$109,0)),"")</f>
        <v/>
      </c>
      <c r="D126" s="9" t="str">
        <f>IFERROR(INDEX('Employee Master'!$H$10:$H$109,MATCH(B126,'Employee Master'!$A$10:$A$109,0)),"")</f>
        <v/>
      </c>
      <c r="E126" s="16" t="s">
        <v>46</v>
      </c>
      <c r="F126" s="19"/>
      <c r="G126" s="19"/>
      <c r="H126" s="16">
        <v>0</v>
      </c>
      <c r="I126" s="9"/>
      <c r="J126" s="16" t="str">
        <f t="shared" si="2"/>
        <v/>
      </c>
      <c r="K126" s="16" t="str">
        <f>IF(F126&lt;&gt;"",IF(F126&gt;Lists!$L$10,"Late","On Time"),"")</f>
        <v/>
      </c>
      <c r="L126" s="16" t="str">
        <f>IF(G126&lt;&gt;"",IF(G126&lt;Lists!$L$11,"Early","On Time"),"")</f>
        <v/>
      </c>
      <c r="M126" s="9" t="str">
        <f t="shared" si="3"/>
        <v>WO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</row>
    <row r="127" spans="1:45" x14ac:dyDescent="0.3">
      <c r="A127" s="18">
        <v>46254</v>
      </c>
      <c r="B127" s="9" t="s">
        <v>420</v>
      </c>
      <c r="C127" s="9" t="str">
        <f>IFERROR(INDEX('Employee Master'!$B$10:$B$109,MATCH(B127,'Employee Master'!$A$10:$A$109,0)),"")</f>
        <v/>
      </c>
      <c r="D127" s="9" t="str">
        <f>IFERROR(INDEX('Employee Master'!$H$10:$H$109,MATCH(B127,'Employee Master'!$A$10:$A$109,0)),"")</f>
        <v/>
      </c>
      <c r="E127" s="16" t="s">
        <v>42</v>
      </c>
      <c r="F127" s="19">
        <v>0.42708333333333298</v>
      </c>
      <c r="G127" s="19">
        <v>0.42013888888888901</v>
      </c>
      <c r="H127" s="16">
        <v>0</v>
      </c>
      <c r="I127" s="9"/>
      <c r="J127" s="16">
        <f t="shared" si="2"/>
        <v>-0.17</v>
      </c>
      <c r="K127" s="16" t="str">
        <f>IF(F127&lt;&gt;"",IF(F127&gt;Lists!$L$10,"Late","On Time"),"")</f>
        <v>Late</v>
      </c>
      <c r="L127" s="16" t="str">
        <f>IF(G127&lt;&gt;"",IF(G127&lt;Lists!$L$11,"Early","On Time"),"")</f>
        <v>Early</v>
      </c>
      <c r="M127" s="9" t="str">
        <f t="shared" si="3"/>
        <v>P +Late +Early Exit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</row>
    <row r="128" spans="1:45" x14ac:dyDescent="0.3">
      <c r="A128" s="18">
        <v>46254</v>
      </c>
      <c r="B128" s="9" t="s">
        <v>421</v>
      </c>
      <c r="C128" s="9" t="str">
        <f>IFERROR(INDEX('Employee Master'!$B$10:$B$109,MATCH(B128,'Employee Master'!$A$10:$A$109,0)),"")</f>
        <v/>
      </c>
      <c r="D128" s="9" t="str">
        <f>IFERROR(INDEX('Employee Master'!$H$10:$H$109,MATCH(B128,'Employee Master'!$A$10:$A$109,0)),"")</f>
        <v/>
      </c>
      <c r="E128" s="16" t="s">
        <v>42</v>
      </c>
      <c r="F128" s="19">
        <v>0.38541666666666702</v>
      </c>
      <c r="G128" s="19">
        <v>0.75</v>
      </c>
      <c r="H128" s="16">
        <v>0</v>
      </c>
      <c r="I128" s="9"/>
      <c r="J128" s="16">
        <f t="shared" si="2"/>
        <v>8.75</v>
      </c>
      <c r="K128" s="16" t="str">
        <f>IF(F128&lt;&gt;"",IF(F128&gt;Lists!$L$10,"Late","On Time"),"")</f>
        <v>On Time</v>
      </c>
      <c r="L128" s="16" t="str">
        <f>IF(G128&lt;&gt;"",IF(G128&lt;Lists!$L$11,"Early","On Time"),"")</f>
        <v>On Time</v>
      </c>
      <c r="M128" s="9" t="str">
        <f t="shared" si="3"/>
        <v>P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</row>
    <row r="129" spans="1:45" x14ac:dyDescent="0.3">
      <c r="A129" s="18">
        <v>46254</v>
      </c>
      <c r="B129" s="9" t="s">
        <v>422</v>
      </c>
      <c r="C129" s="9" t="str">
        <f>IFERROR(INDEX('Employee Master'!$B$10:$B$109,MATCH(B129,'Employee Master'!$A$10:$A$109,0)),"")</f>
        <v/>
      </c>
      <c r="D129" s="9" t="str">
        <f>IFERROR(INDEX('Employee Master'!$H$10:$H$109,MATCH(B129,'Employee Master'!$A$10:$A$109,0)),"")</f>
        <v/>
      </c>
      <c r="E129" s="16" t="s">
        <v>42</v>
      </c>
      <c r="F129" s="19">
        <v>0.38541666666666702</v>
      </c>
      <c r="G129" s="19">
        <v>0.75347222222222199</v>
      </c>
      <c r="H129" s="16">
        <v>0</v>
      </c>
      <c r="I129" s="9"/>
      <c r="J129" s="16">
        <f t="shared" si="2"/>
        <v>8.83</v>
      </c>
      <c r="K129" s="16" t="str">
        <f>IF(F129&lt;&gt;"",IF(F129&gt;Lists!$L$10,"Late","On Time"),"")</f>
        <v>On Time</v>
      </c>
      <c r="L129" s="16" t="str">
        <f>IF(G129&lt;&gt;"",IF(G129&lt;Lists!$L$11,"Early","On Time"),"")</f>
        <v>On Time</v>
      </c>
      <c r="M129" s="9" t="str">
        <f t="shared" si="3"/>
        <v>P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</row>
    <row r="130" spans="1:45" x14ac:dyDescent="0.3">
      <c r="A130" s="18">
        <v>46254</v>
      </c>
      <c r="B130" s="9" t="s">
        <v>423</v>
      </c>
      <c r="C130" s="9" t="str">
        <f>IFERROR(INDEX('Employee Master'!$B$10:$B$109,MATCH(B130,'Employee Master'!$A$10:$A$109,0)),"")</f>
        <v/>
      </c>
      <c r="D130" s="9" t="str">
        <f>IFERROR(INDEX('Employee Master'!$H$10:$H$109,MATCH(B130,'Employee Master'!$A$10:$A$109,0)),"")</f>
        <v/>
      </c>
      <c r="E130" s="16" t="s">
        <v>42</v>
      </c>
      <c r="F130" s="19">
        <v>0.39236111111111099</v>
      </c>
      <c r="G130" s="19">
        <v>0.76388888888888895</v>
      </c>
      <c r="H130" s="16">
        <v>2.5</v>
      </c>
      <c r="I130" s="9"/>
      <c r="J130" s="16">
        <f t="shared" si="2"/>
        <v>8.92</v>
      </c>
      <c r="K130" s="16" t="str">
        <f>IF(F130&lt;&gt;"",IF(F130&gt;Lists!$L$10,"Late","On Time"),"")</f>
        <v>On Time</v>
      </c>
      <c r="L130" s="16" t="str">
        <f>IF(G130&lt;&gt;"",IF(G130&lt;Lists!$L$11,"Early","On Time"),"")</f>
        <v>On Time</v>
      </c>
      <c r="M130" s="9" t="str">
        <f t="shared" si="3"/>
        <v>P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</row>
    <row r="131" spans="1:45" x14ac:dyDescent="0.3">
      <c r="A131" s="18">
        <v>46254</v>
      </c>
      <c r="B131" s="9" t="s">
        <v>424</v>
      </c>
      <c r="C131" s="9" t="str">
        <f>IFERROR(INDEX('Employee Master'!$B$10:$B$109,MATCH(B131,'Employee Master'!$A$10:$A$109,0)),"")</f>
        <v/>
      </c>
      <c r="D131" s="9" t="str">
        <f>IFERROR(INDEX('Employee Master'!$H$10:$H$109,MATCH(B131,'Employee Master'!$A$10:$A$109,0)),"")</f>
        <v/>
      </c>
      <c r="E131" s="16" t="s">
        <v>42</v>
      </c>
      <c r="F131" s="19">
        <v>0.38541666666666702</v>
      </c>
      <c r="G131" s="19">
        <v>0.76388888888888895</v>
      </c>
      <c r="H131" s="16">
        <v>1</v>
      </c>
      <c r="I131" s="9"/>
      <c r="J131" s="16">
        <f t="shared" si="2"/>
        <v>9.08</v>
      </c>
      <c r="K131" s="16" t="str">
        <f>IF(F131&lt;&gt;"",IF(F131&gt;Lists!$L$10,"Late","On Time"),"")</f>
        <v>On Time</v>
      </c>
      <c r="L131" s="16" t="str">
        <f>IF(G131&lt;&gt;"",IF(G131&lt;Lists!$L$11,"Early","On Time"),"")</f>
        <v>On Time</v>
      </c>
      <c r="M131" s="9" t="str">
        <f t="shared" si="3"/>
        <v>P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</row>
    <row r="132" spans="1:45" x14ac:dyDescent="0.3">
      <c r="A132" s="18">
        <v>46254</v>
      </c>
      <c r="B132" s="9" t="s">
        <v>425</v>
      </c>
      <c r="C132" s="9" t="str">
        <f>IFERROR(INDEX('Employee Master'!$B$10:$B$109,MATCH(B132,'Employee Master'!$A$10:$A$109,0)),"")</f>
        <v/>
      </c>
      <c r="D132" s="9" t="str">
        <f>IFERROR(INDEX('Employee Master'!$H$10:$H$109,MATCH(B132,'Employee Master'!$A$10:$A$109,0)),"")</f>
        <v/>
      </c>
      <c r="E132" s="16" t="s">
        <v>46</v>
      </c>
      <c r="F132" s="19"/>
      <c r="G132" s="19"/>
      <c r="H132" s="16">
        <v>0</v>
      </c>
      <c r="I132" s="9"/>
      <c r="J132" s="16" t="str">
        <f t="shared" si="2"/>
        <v/>
      </c>
      <c r="K132" s="16" t="str">
        <f>IF(F132&lt;&gt;"",IF(F132&gt;Lists!$L$10,"Late","On Time"),"")</f>
        <v/>
      </c>
      <c r="L132" s="16" t="str">
        <f>IF(G132&lt;&gt;"",IF(G132&lt;Lists!$L$11,"Early","On Time"),"")</f>
        <v/>
      </c>
      <c r="M132" s="9" t="str">
        <f t="shared" si="3"/>
        <v>WO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</row>
    <row r="133" spans="1:45" x14ac:dyDescent="0.3">
      <c r="A133" s="18">
        <v>46254</v>
      </c>
      <c r="B133" s="9" t="s">
        <v>426</v>
      </c>
      <c r="C133" s="9" t="str">
        <f>IFERROR(INDEX('Employee Master'!$B$10:$B$109,MATCH(B133,'Employee Master'!$A$10:$A$109,0)),"")</f>
        <v/>
      </c>
      <c r="D133" s="9" t="str">
        <f>IFERROR(INDEX('Employee Master'!$H$10:$H$109,MATCH(B133,'Employee Master'!$A$10:$A$109,0)),"")</f>
        <v/>
      </c>
      <c r="E133" s="16" t="s">
        <v>42</v>
      </c>
      <c r="F133" s="19">
        <v>0.37847222222222199</v>
      </c>
      <c r="G133" s="19">
        <v>0.77430555555555602</v>
      </c>
      <c r="H133" s="16">
        <v>0</v>
      </c>
      <c r="I133" s="9"/>
      <c r="J133" s="16">
        <f t="shared" si="2"/>
        <v>9.5</v>
      </c>
      <c r="K133" s="16" t="str">
        <f>IF(F133&lt;&gt;"",IF(F133&gt;Lists!$L$10,"Late","On Time"),"")</f>
        <v>On Time</v>
      </c>
      <c r="L133" s="16" t="str">
        <f>IF(G133&lt;&gt;"",IF(G133&lt;Lists!$L$11,"Early","On Time"),"")</f>
        <v>On Time</v>
      </c>
      <c r="M133" s="9" t="str">
        <f t="shared" si="3"/>
        <v>P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</row>
    <row r="134" spans="1:45" x14ac:dyDescent="0.3">
      <c r="A134" s="18">
        <v>46254</v>
      </c>
      <c r="B134" s="9" t="s">
        <v>427</v>
      </c>
      <c r="C134" s="9" t="str">
        <f>IFERROR(INDEX('Employee Master'!$B$10:$B$109,MATCH(B134,'Employee Master'!$A$10:$A$109,0)),"")</f>
        <v/>
      </c>
      <c r="D134" s="9" t="str">
        <f>IFERROR(INDEX('Employee Master'!$H$10:$H$109,MATCH(B134,'Employee Master'!$A$10:$A$109,0)),"")</f>
        <v/>
      </c>
      <c r="E134" s="16" t="s">
        <v>42</v>
      </c>
      <c r="F134" s="19">
        <v>0.38541666666666702</v>
      </c>
      <c r="G134" s="19">
        <v>0.75694444444444398</v>
      </c>
      <c r="H134" s="16">
        <v>0</v>
      </c>
      <c r="I134" s="9"/>
      <c r="J134" s="16">
        <f t="shared" si="2"/>
        <v>8.92</v>
      </c>
      <c r="K134" s="16" t="str">
        <f>IF(F134&lt;&gt;"",IF(F134&gt;Lists!$L$10,"Late","On Time"),"")</f>
        <v>On Time</v>
      </c>
      <c r="L134" s="16" t="str">
        <f>IF(G134&lt;&gt;"",IF(G134&lt;Lists!$L$11,"Early","On Time"),"")</f>
        <v>On Time</v>
      </c>
      <c r="M134" s="9" t="str">
        <f t="shared" si="3"/>
        <v>P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</row>
    <row r="135" spans="1:45" x14ac:dyDescent="0.3">
      <c r="A135" s="18">
        <v>46254</v>
      </c>
      <c r="B135" s="9" t="s">
        <v>428</v>
      </c>
      <c r="C135" s="9" t="str">
        <f>IFERROR(INDEX('Employee Master'!$B$10:$B$109,MATCH(B135,'Employee Master'!$A$10:$A$109,0)),"")</f>
        <v/>
      </c>
      <c r="D135" s="9" t="str">
        <f>IFERROR(INDEX('Employee Master'!$H$10:$H$109,MATCH(B135,'Employee Master'!$A$10:$A$109,0)),"")</f>
        <v/>
      </c>
      <c r="E135" s="16" t="s">
        <v>42</v>
      </c>
      <c r="F135" s="19">
        <v>0.37847222222222199</v>
      </c>
      <c r="G135" s="19">
        <v>0.76388888888888895</v>
      </c>
      <c r="H135" s="16">
        <v>0</v>
      </c>
      <c r="I135" s="9"/>
      <c r="J135" s="16">
        <f t="shared" si="2"/>
        <v>9.25</v>
      </c>
      <c r="K135" s="16" t="str">
        <f>IF(F135&lt;&gt;"",IF(F135&gt;Lists!$L$10,"Late","On Time"),"")</f>
        <v>On Time</v>
      </c>
      <c r="L135" s="16" t="str">
        <f>IF(G135&lt;&gt;"",IF(G135&lt;Lists!$L$11,"Early","On Time"),"")</f>
        <v>On Time</v>
      </c>
      <c r="M135" s="9" t="str">
        <f t="shared" si="3"/>
        <v>P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</row>
    <row r="136" spans="1:45" x14ac:dyDescent="0.3">
      <c r="A136" s="18">
        <v>46254</v>
      </c>
      <c r="B136" s="9" t="s">
        <v>429</v>
      </c>
      <c r="C136" s="9" t="str">
        <f>IFERROR(INDEX('Employee Master'!$B$10:$B$109,MATCH(B136,'Employee Master'!$A$10:$A$109,0)),"")</f>
        <v/>
      </c>
      <c r="D136" s="9" t="str">
        <f>IFERROR(INDEX('Employee Master'!$H$10:$H$109,MATCH(B136,'Employee Master'!$A$10:$A$109,0)),"")</f>
        <v/>
      </c>
      <c r="E136" s="16" t="s">
        <v>42</v>
      </c>
      <c r="F136" s="19">
        <v>0.38750000000000001</v>
      </c>
      <c r="G136" s="19">
        <v>0.75347222222222199</v>
      </c>
      <c r="H136" s="16">
        <v>0</v>
      </c>
      <c r="I136" s="9"/>
      <c r="J136" s="16">
        <f t="shared" si="2"/>
        <v>8.7799999999999994</v>
      </c>
      <c r="K136" s="16" t="str">
        <f>IF(F136&lt;&gt;"",IF(F136&gt;Lists!$L$10,"Late","On Time"),"")</f>
        <v>On Time</v>
      </c>
      <c r="L136" s="16" t="str">
        <f>IF(G136&lt;&gt;"",IF(G136&lt;Lists!$L$11,"Early","On Time"),"")</f>
        <v>On Time</v>
      </c>
      <c r="M136" s="9" t="str">
        <f t="shared" si="3"/>
        <v>P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</row>
    <row r="137" spans="1:45" x14ac:dyDescent="0.3">
      <c r="A137" s="18">
        <v>46254</v>
      </c>
      <c r="B137" s="9" t="s">
        <v>430</v>
      </c>
      <c r="C137" s="9" t="str">
        <f>IFERROR(INDEX('Employee Master'!$B$10:$B$109,MATCH(B137,'Employee Master'!$A$10:$A$109,0)),"")</f>
        <v/>
      </c>
      <c r="D137" s="9" t="str">
        <f>IFERROR(INDEX('Employee Master'!$H$10:$H$109,MATCH(B137,'Employee Master'!$A$10:$A$109,0)),"")</f>
        <v/>
      </c>
      <c r="E137" s="16" t="s">
        <v>42</v>
      </c>
      <c r="F137" s="19">
        <v>0.38750000000000001</v>
      </c>
      <c r="G137" s="19">
        <v>0.75</v>
      </c>
      <c r="H137" s="16">
        <v>0</v>
      </c>
      <c r="I137" s="9"/>
      <c r="J137" s="16">
        <f t="shared" si="2"/>
        <v>8.6999999999999993</v>
      </c>
      <c r="K137" s="16" t="str">
        <f>IF(F137&lt;&gt;"",IF(F137&gt;Lists!$L$10,"Late","On Time"),"")</f>
        <v>On Time</v>
      </c>
      <c r="L137" s="16" t="str">
        <f>IF(G137&lt;&gt;"",IF(G137&lt;Lists!$L$11,"Early","On Time"),"")</f>
        <v>On Time</v>
      </c>
      <c r="M137" s="9" t="str">
        <f t="shared" si="3"/>
        <v>P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</row>
    <row r="138" spans="1:45" x14ac:dyDescent="0.3">
      <c r="A138" s="18">
        <v>46254</v>
      </c>
      <c r="B138" s="9" t="s">
        <v>431</v>
      </c>
      <c r="C138" s="9" t="str">
        <f>IFERROR(INDEX('Employee Master'!$B$10:$B$109,MATCH(B138,'Employee Master'!$A$10:$A$109,0)),"")</f>
        <v/>
      </c>
      <c r="D138" s="9" t="str">
        <f>IFERROR(INDEX('Employee Master'!$H$10:$H$109,MATCH(B138,'Employee Master'!$A$10:$A$109,0)),"")</f>
        <v/>
      </c>
      <c r="E138" s="16" t="s">
        <v>42</v>
      </c>
      <c r="F138" s="19">
        <v>0.39236111111111099</v>
      </c>
      <c r="G138" s="19">
        <v>0.76388888888888895</v>
      </c>
      <c r="H138" s="16">
        <v>1</v>
      </c>
      <c r="I138" s="9"/>
      <c r="J138" s="16">
        <f t="shared" ref="J138:J201" si="4">IF(AND(F138&lt;&gt;"",G138&lt;&gt;""),ROUND((G138-F138)*24,2),"")</f>
        <v>8.92</v>
      </c>
      <c r="K138" s="16" t="str">
        <f>IF(F138&lt;&gt;"",IF(F138&gt;Lists!$L$10,"Late","On Time"),"")</f>
        <v>On Time</v>
      </c>
      <c r="L138" s="16" t="str">
        <f>IF(G138&lt;&gt;"",IF(G138&lt;Lists!$L$11,"Early","On Time"),"")</f>
        <v>On Time</v>
      </c>
      <c r="M138" s="9" t="str">
        <f t="shared" ref="M138:M201" si="5">IF(E138="","",E138&amp;IF(K138="Late"," +Late","")&amp;IF(L138="Early"," +Early Exit",""))</f>
        <v>P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</row>
    <row r="139" spans="1:45" x14ac:dyDescent="0.3">
      <c r="A139" s="18">
        <v>46254</v>
      </c>
      <c r="B139" s="9" t="s">
        <v>432</v>
      </c>
      <c r="C139" s="9" t="str">
        <f>IFERROR(INDEX('Employee Master'!$B$10:$B$109,MATCH(B139,'Employee Master'!$A$10:$A$109,0)),"")</f>
        <v/>
      </c>
      <c r="D139" s="9" t="str">
        <f>IFERROR(INDEX('Employee Master'!$H$10:$H$109,MATCH(B139,'Employee Master'!$A$10:$A$109,0)),"")</f>
        <v/>
      </c>
      <c r="E139" s="16" t="s">
        <v>42</v>
      </c>
      <c r="F139" s="19">
        <v>0.37847222222222199</v>
      </c>
      <c r="G139" s="19">
        <v>0.75694444444444398</v>
      </c>
      <c r="H139" s="16">
        <v>0</v>
      </c>
      <c r="I139" s="9"/>
      <c r="J139" s="16">
        <f t="shared" si="4"/>
        <v>9.08</v>
      </c>
      <c r="K139" s="16" t="str">
        <f>IF(F139&lt;&gt;"",IF(F139&gt;Lists!$L$10,"Late","On Time"),"")</f>
        <v>On Time</v>
      </c>
      <c r="L139" s="16" t="str">
        <f>IF(G139&lt;&gt;"",IF(G139&lt;Lists!$L$11,"Early","On Time"),"")</f>
        <v>On Time</v>
      </c>
      <c r="M139" s="9" t="str">
        <f t="shared" si="5"/>
        <v>P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</row>
    <row r="140" spans="1:45" x14ac:dyDescent="0.3">
      <c r="A140" s="18">
        <v>46254</v>
      </c>
      <c r="B140" s="9" t="s">
        <v>433</v>
      </c>
      <c r="C140" s="9" t="str">
        <f>IFERROR(INDEX('Employee Master'!$B$10:$B$109,MATCH(B140,'Employee Master'!$A$10:$A$109,0)),"")</f>
        <v/>
      </c>
      <c r="D140" s="9" t="str">
        <f>IFERROR(INDEX('Employee Master'!$H$10:$H$109,MATCH(B140,'Employee Master'!$A$10:$A$109,0)),"")</f>
        <v/>
      </c>
      <c r="E140" s="16" t="s">
        <v>46</v>
      </c>
      <c r="F140" s="19"/>
      <c r="G140" s="19"/>
      <c r="H140" s="16">
        <v>0</v>
      </c>
      <c r="I140" s="9"/>
      <c r="J140" s="16" t="str">
        <f t="shared" si="4"/>
        <v/>
      </c>
      <c r="K140" s="16" t="str">
        <f>IF(F140&lt;&gt;"",IF(F140&gt;Lists!$L$10,"Late","On Time"),"")</f>
        <v/>
      </c>
      <c r="L140" s="16" t="str">
        <f>IF(G140&lt;&gt;"",IF(G140&lt;Lists!$L$11,"Early","On Time"),"")</f>
        <v/>
      </c>
      <c r="M140" s="9" t="str">
        <f t="shared" si="5"/>
        <v>WO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</row>
    <row r="141" spans="1:45" x14ac:dyDescent="0.3">
      <c r="A141" s="18">
        <v>46254</v>
      </c>
      <c r="B141" s="9" t="s">
        <v>434</v>
      </c>
      <c r="C141" s="9" t="str">
        <f>IFERROR(INDEX('Employee Master'!$B$10:$B$109,MATCH(B141,'Employee Master'!$A$10:$A$109,0)),"")</f>
        <v/>
      </c>
      <c r="D141" s="9" t="str">
        <f>IFERROR(INDEX('Employee Master'!$H$10:$H$109,MATCH(B141,'Employee Master'!$A$10:$A$109,0)),"")</f>
        <v/>
      </c>
      <c r="E141" s="16" t="s">
        <v>42</v>
      </c>
      <c r="F141" s="19">
        <v>0.38541666666666702</v>
      </c>
      <c r="G141" s="19">
        <v>0.77430555555555602</v>
      </c>
      <c r="H141" s="16">
        <v>2</v>
      </c>
      <c r="I141" s="9"/>
      <c r="J141" s="16">
        <f t="shared" si="4"/>
        <v>9.33</v>
      </c>
      <c r="K141" s="16" t="str">
        <f>IF(F141&lt;&gt;"",IF(F141&gt;Lists!$L$10,"Late","On Time"),"")</f>
        <v>On Time</v>
      </c>
      <c r="L141" s="16" t="str">
        <f>IF(G141&lt;&gt;"",IF(G141&lt;Lists!$L$11,"Early","On Time"),"")</f>
        <v>On Time</v>
      </c>
      <c r="M141" s="9" t="str">
        <f t="shared" si="5"/>
        <v>P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</row>
    <row r="142" spans="1:45" x14ac:dyDescent="0.3">
      <c r="A142" s="18">
        <v>46254</v>
      </c>
      <c r="B142" s="9" t="s">
        <v>435</v>
      </c>
      <c r="C142" s="9" t="str">
        <f>IFERROR(INDEX('Employee Master'!$B$10:$B$109,MATCH(B142,'Employee Master'!$A$10:$A$109,0)),"")</f>
        <v/>
      </c>
      <c r="D142" s="9" t="str">
        <f>IFERROR(INDEX('Employee Master'!$H$10:$H$109,MATCH(B142,'Employee Master'!$A$10:$A$109,0)),"")</f>
        <v/>
      </c>
      <c r="E142" s="16" t="s">
        <v>42</v>
      </c>
      <c r="F142" s="19">
        <v>0.38541666666666702</v>
      </c>
      <c r="G142" s="19">
        <v>0.75</v>
      </c>
      <c r="H142" s="16">
        <v>0</v>
      </c>
      <c r="I142" s="9"/>
      <c r="J142" s="16">
        <f t="shared" si="4"/>
        <v>8.75</v>
      </c>
      <c r="K142" s="16" t="str">
        <f>IF(F142&lt;&gt;"",IF(F142&gt;Lists!$L$10,"Late","On Time"),"")</f>
        <v>On Time</v>
      </c>
      <c r="L142" s="16" t="str">
        <f>IF(G142&lt;&gt;"",IF(G142&lt;Lists!$L$11,"Early","On Time"),"")</f>
        <v>On Time</v>
      </c>
      <c r="M142" s="9" t="str">
        <f t="shared" si="5"/>
        <v>P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</row>
    <row r="143" spans="1:45" x14ac:dyDescent="0.3">
      <c r="A143" s="18">
        <v>46254</v>
      </c>
      <c r="B143" s="9" t="s">
        <v>436</v>
      </c>
      <c r="C143" s="9" t="str">
        <f>IFERROR(INDEX('Employee Master'!$B$10:$B$109,MATCH(B143,'Employee Master'!$A$10:$A$109,0)),"")</f>
        <v/>
      </c>
      <c r="D143" s="9" t="str">
        <f>IFERROR(INDEX('Employee Master'!$H$10:$H$109,MATCH(B143,'Employee Master'!$A$10:$A$109,0)),"")</f>
        <v/>
      </c>
      <c r="E143" s="16" t="s">
        <v>42</v>
      </c>
      <c r="F143" s="19">
        <v>0.39236111111111099</v>
      </c>
      <c r="G143" s="19">
        <v>0.75</v>
      </c>
      <c r="H143" s="16">
        <v>1.5</v>
      </c>
      <c r="I143" s="9"/>
      <c r="J143" s="16">
        <f t="shared" si="4"/>
        <v>8.58</v>
      </c>
      <c r="K143" s="16" t="str">
        <f>IF(F143&lt;&gt;"",IF(F143&gt;Lists!$L$10,"Late","On Time"),"")</f>
        <v>On Time</v>
      </c>
      <c r="L143" s="16" t="str">
        <f>IF(G143&lt;&gt;"",IF(G143&lt;Lists!$L$11,"Early","On Time"),"")</f>
        <v>On Time</v>
      </c>
      <c r="M143" s="9" t="str">
        <f t="shared" si="5"/>
        <v>P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</row>
    <row r="144" spans="1:45" x14ac:dyDescent="0.3">
      <c r="A144" s="18">
        <v>46254</v>
      </c>
      <c r="B144" s="9" t="s">
        <v>437</v>
      </c>
      <c r="C144" s="9" t="str">
        <f>IFERROR(INDEX('Employee Master'!$B$10:$B$109,MATCH(B144,'Employee Master'!$A$10:$A$109,0)),"")</f>
        <v/>
      </c>
      <c r="D144" s="9" t="str">
        <f>IFERROR(INDEX('Employee Master'!$H$10:$H$109,MATCH(B144,'Employee Master'!$A$10:$A$109,0)),"")</f>
        <v/>
      </c>
      <c r="E144" s="16" t="s">
        <v>48</v>
      </c>
      <c r="F144" s="19">
        <v>0.39236111111111099</v>
      </c>
      <c r="G144" s="19">
        <v>0.5625</v>
      </c>
      <c r="H144" s="16">
        <v>0</v>
      </c>
      <c r="I144" s="9"/>
      <c r="J144" s="16">
        <f t="shared" si="4"/>
        <v>4.08</v>
      </c>
      <c r="K144" s="16" t="str">
        <f>IF(F144&lt;&gt;"",IF(F144&gt;Lists!$L$10,"Late","On Time"),"")</f>
        <v>On Time</v>
      </c>
      <c r="L144" s="16" t="str">
        <f>IF(G144&lt;&gt;"",IF(G144&lt;Lists!$L$11,"Early","On Time"),"")</f>
        <v>Early</v>
      </c>
      <c r="M144" s="9" t="str">
        <f t="shared" si="5"/>
        <v>HD +Early Exit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</row>
    <row r="145" spans="1:45" x14ac:dyDescent="0.3">
      <c r="A145" s="18">
        <v>46254</v>
      </c>
      <c r="B145" s="9" t="s">
        <v>438</v>
      </c>
      <c r="C145" s="9" t="str">
        <f>IFERROR(INDEX('Employee Master'!$B$10:$B$109,MATCH(B145,'Employee Master'!$A$10:$A$109,0)),"")</f>
        <v/>
      </c>
      <c r="D145" s="9" t="str">
        <f>IFERROR(INDEX('Employee Master'!$H$10:$H$109,MATCH(B145,'Employee Master'!$A$10:$A$109,0)),"")</f>
        <v/>
      </c>
      <c r="E145" s="16" t="s">
        <v>42</v>
      </c>
      <c r="F145" s="19">
        <v>0.38750000000000001</v>
      </c>
      <c r="G145" s="19">
        <v>0.75694444444444398</v>
      </c>
      <c r="H145" s="16">
        <v>0</v>
      </c>
      <c r="I145" s="9"/>
      <c r="J145" s="16">
        <f t="shared" si="4"/>
        <v>8.8699999999999992</v>
      </c>
      <c r="K145" s="16" t="str">
        <f>IF(F145&lt;&gt;"",IF(F145&gt;Lists!$L$10,"Late","On Time"),"")</f>
        <v>On Time</v>
      </c>
      <c r="L145" s="16" t="str">
        <f>IF(G145&lt;&gt;"",IF(G145&lt;Lists!$L$11,"Early","On Time"),"")</f>
        <v>On Time</v>
      </c>
      <c r="M145" s="9" t="str">
        <f t="shared" si="5"/>
        <v>P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</row>
    <row r="146" spans="1:45" x14ac:dyDescent="0.3">
      <c r="A146" s="18">
        <v>46255</v>
      </c>
      <c r="B146" s="9" t="s">
        <v>439</v>
      </c>
      <c r="C146" s="9" t="str">
        <f>IFERROR(INDEX('Employee Master'!$B$10:$B$109,MATCH(B146,'Employee Master'!$A$10:$A$109,0)),"")</f>
        <v/>
      </c>
      <c r="D146" s="9" t="str">
        <f>IFERROR(INDEX('Employee Master'!$H$10:$H$109,MATCH(B146,'Employee Master'!$A$10:$A$109,0)),"")</f>
        <v/>
      </c>
      <c r="E146" s="16" t="s">
        <v>42</v>
      </c>
      <c r="F146" s="19">
        <v>0.38194444444444398</v>
      </c>
      <c r="G146" s="19">
        <v>0.76388888888888895</v>
      </c>
      <c r="H146" s="16">
        <v>0</v>
      </c>
      <c r="I146" s="9"/>
      <c r="J146" s="16">
        <f t="shared" si="4"/>
        <v>9.17</v>
      </c>
      <c r="K146" s="16" t="str">
        <f>IF(F146&lt;&gt;"",IF(F146&gt;Lists!$L$10,"Late","On Time"),"")</f>
        <v>On Time</v>
      </c>
      <c r="L146" s="16" t="str">
        <f>IF(G146&lt;&gt;"",IF(G146&lt;Lists!$L$11,"Early","On Time"),"")</f>
        <v>On Time</v>
      </c>
      <c r="M146" s="9" t="str">
        <f t="shared" si="5"/>
        <v>P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</row>
    <row r="147" spans="1:45" x14ac:dyDescent="0.3">
      <c r="A147" s="18">
        <v>46255</v>
      </c>
      <c r="B147" s="9" t="s">
        <v>440</v>
      </c>
      <c r="C147" s="9" t="str">
        <f>IFERROR(INDEX('Employee Master'!$B$10:$B$109,MATCH(B147,'Employee Master'!$A$10:$A$109,0)),"")</f>
        <v/>
      </c>
      <c r="D147" s="9" t="str">
        <f>IFERROR(INDEX('Employee Master'!$H$10:$H$109,MATCH(B147,'Employee Master'!$A$10:$A$109,0)),"")</f>
        <v/>
      </c>
      <c r="E147" s="16" t="s">
        <v>42</v>
      </c>
      <c r="F147" s="19">
        <v>0.39236111111111099</v>
      </c>
      <c r="G147" s="19">
        <v>0.75694444444444398</v>
      </c>
      <c r="H147" s="16">
        <v>0</v>
      </c>
      <c r="I147" s="9"/>
      <c r="J147" s="16">
        <f t="shared" si="4"/>
        <v>8.75</v>
      </c>
      <c r="K147" s="16" t="str">
        <f>IF(F147&lt;&gt;"",IF(F147&gt;Lists!$L$10,"Late","On Time"),"")</f>
        <v>On Time</v>
      </c>
      <c r="L147" s="16" t="str">
        <f>IF(G147&lt;&gt;"",IF(G147&lt;Lists!$L$11,"Early","On Time"),"")</f>
        <v>On Time</v>
      </c>
      <c r="M147" s="9" t="str">
        <f t="shared" si="5"/>
        <v>P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</row>
    <row r="148" spans="1:45" x14ac:dyDescent="0.3">
      <c r="A148" s="18">
        <v>46255</v>
      </c>
      <c r="B148" s="9" t="s">
        <v>441</v>
      </c>
      <c r="C148" s="9" t="str">
        <f>IFERROR(INDEX('Employee Master'!$B$10:$B$109,MATCH(B148,'Employee Master'!$A$10:$A$109,0)),"")</f>
        <v/>
      </c>
      <c r="D148" s="9" t="str">
        <f>IFERROR(INDEX('Employee Master'!$H$10:$H$109,MATCH(B148,'Employee Master'!$A$10:$A$109,0)),"")</f>
        <v/>
      </c>
      <c r="E148" s="16" t="s">
        <v>42</v>
      </c>
      <c r="F148" s="19">
        <v>0.390277777777778</v>
      </c>
      <c r="G148" s="19">
        <v>0.75347222222222199</v>
      </c>
      <c r="H148" s="16">
        <v>0</v>
      </c>
      <c r="I148" s="9"/>
      <c r="J148" s="16">
        <f t="shared" si="4"/>
        <v>8.7200000000000006</v>
      </c>
      <c r="K148" s="16" t="str">
        <f>IF(F148&lt;&gt;"",IF(F148&gt;Lists!$L$10,"Late","On Time"),"")</f>
        <v>On Time</v>
      </c>
      <c r="L148" s="16" t="str">
        <f>IF(G148&lt;&gt;"",IF(G148&lt;Lists!$L$11,"Early","On Time"),"")</f>
        <v>On Time</v>
      </c>
      <c r="M148" s="9" t="str">
        <f t="shared" si="5"/>
        <v>P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</row>
    <row r="149" spans="1:45" x14ac:dyDescent="0.3">
      <c r="A149" s="18">
        <v>46255</v>
      </c>
      <c r="B149" s="9" t="s">
        <v>442</v>
      </c>
      <c r="C149" s="9" t="str">
        <f>IFERROR(INDEX('Employee Master'!$B$10:$B$109,MATCH(B149,'Employee Master'!$A$10:$A$109,0)),"")</f>
        <v/>
      </c>
      <c r="D149" s="9" t="str">
        <f>IFERROR(INDEX('Employee Master'!$H$10:$H$109,MATCH(B149,'Employee Master'!$A$10:$A$109,0)),"")</f>
        <v/>
      </c>
      <c r="E149" s="16" t="s">
        <v>42</v>
      </c>
      <c r="F149" s="19">
        <v>0.38541666666666702</v>
      </c>
      <c r="G149" s="19">
        <v>0.77430555555555602</v>
      </c>
      <c r="H149" s="16">
        <v>1.5</v>
      </c>
      <c r="I149" s="9"/>
      <c r="J149" s="16">
        <f t="shared" si="4"/>
        <v>9.33</v>
      </c>
      <c r="K149" s="16" t="str">
        <f>IF(F149&lt;&gt;"",IF(F149&gt;Lists!$L$10,"Late","On Time"),"")</f>
        <v>On Time</v>
      </c>
      <c r="L149" s="16" t="str">
        <f>IF(G149&lt;&gt;"",IF(G149&lt;Lists!$L$11,"Early","On Time"),"")</f>
        <v>On Time</v>
      </c>
      <c r="M149" s="9" t="str">
        <f t="shared" si="5"/>
        <v>P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</row>
    <row r="150" spans="1:45" x14ac:dyDescent="0.3">
      <c r="A150" s="18">
        <v>46255</v>
      </c>
      <c r="B150" s="9" t="s">
        <v>443</v>
      </c>
      <c r="C150" s="9" t="str">
        <f>IFERROR(INDEX('Employee Master'!$B$10:$B$109,MATCH(B150,'Employee Master'!$A$10:$A$109,0)),"")</f>
        <v/>
      </c>
      <c r="D150" s="9" t="str">
        <f>IFERROR(INDEX('Employee Master'!$H$10:$H$109,MATCH(B150,'Employee Master'!$A$10:$A$109,0)),"")</f>
        <v/>
      </c>
      <c r="E150" s="16" t="s">
        <v>42</v>
      </c>
      <c r="F150" s="19">
        <v>0.38194444444444398</v>
      </c>
      <c r="G150" s="19">
        <v>0.75347222222222199</v>
      </c>
      <c r="H150" s="16">
        <v>0</v>
      </c>
      <c r="I150" s="9"/>
      <c r="J150" s="16">
        <f t="shared" si="4"/>
        <v>8.92</v>
      </c>
      <c r="K150" s="16" t="str">
        <f>IF(F150&lt;&gt;"",IF(F150&gt;Lists!$L$10,"Late","On Time"),"")</f>
        <v>On Time</v>
      </c>
      <c r="L150" s="16" t="str">
        <f>IF(G150&lt;&gt;"",IF(G150&lt;Lists!$L$11,"Early","On Time"),"")</f>
        <v>On Time</v>
      </c>
      <c r="M150" s="9" t="str">
        <f t="shared" si="5"/>
        <v>P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</row>
    <row r="151" spans="1:45" x14ac:dyDescent="0.3">
      <c r="A151" s="18">
        <v>46255</v>
      </c>
      <c r="B151" s="9" t="s">
        <v>444</v>
      </c>
      <c r="C151" s="9" t="str">
        <f>IFERROR(INDEX('Employee Master'!$B$10:$B$109,MATCH(B151,'Employee Master'!$A$10:$A$109,0)),"")</f>
        <v/>
      </c>
      <c r="D151" s="9" t="str">
        <f>IFERROR(INDEX('Employee Master'!$H$10:$H$109,MATCH(B151,'Employee Master'!$A$10:$A$109,0)),"")</f>
        <v/>
      </c>
      <c r="E151" s="16" t="s">
        <v>42</v>
      </c>
      <c r="F151" s="19">
        <v>0.38750000000000001</v>
      </c>
      <c r="G151" s="19">
        <v>0.77430555555555602</v>
      </c>
      <c r="H151" s="16">
        <v>0</v>
      </c>
      <c r="I151" s="9"/>
      <c r="J151" s="16">
        <f t="shared" si="4"/>
        <v>9.2799999999999994</v>
      </c>
      <c r="K151" s="16" t="str">
        <f>IF(F151&lt;&gt;"",IF(F151&gt;Lists!$L$10,"Late","On Time"),"")</f>
        <v>On Time</v>
      </c>
      <c r="L151" s="16" t="str">
        <f>IF(G151&lt;&gt;"",IF(G151&lt;Lists!$L$11,"Early","On Time"),"")</f>
        <v>On Time</v>
      </c>
      <c r="M151" s="9" t="str">
        <f t="shared" si="5"/>
        <v>P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</row>
    <row r="152" spans="1:45" x14ac:dyDescent="0.3">
      <c r="A152" s="18">
        <v>46255</v>
      </c>
      <c r="B152" s="9" t="s">
        <v>445</v>
      </c>
      <c r="C152" s="9" t="str">
        <f>IFERROR(INDEX('Employee Master'!$B$10:$B$109,MATCH(B152,'Employee Master'!$A$10:$A$109,0)),"")</f>
        <v/>
      </c>
      <c r="D152" s="9" t="str">
        <f>IFERROR(INDEX('Employee Master'!$H$10:$H$109,MATCH(B152,'Employee Master'!$A$10:$A$109,0)),"")</f>
        <v/>
      </c>
      <c r="E152" s="16" t="s">
        <v>42</v>
      </c>
      <c r="F152" s="19">
        <v>0.38750000000000001</v>
      </c>
      <c r="G152" s="19">
        <v>0.75</v>
      </c>
      <c r="H152" s="16">
        <v>0</v>
      </c>
      <c r="I152" s="9"/>
      <c r="J152" s="16">
        <f t="shared" si="4"/>
        <v>8.6999999999999993</v>
      </c>
      <c r="K152" s="16" t="str">
        <f>IF(F152&lt;&gt;"",IF(F152&gt;Lists!$L$10,"Late","On Time"),"")</f>
        <v>On Time</v>
      </c>
      <c r="L152" s="16" t="str">
        <f>IF(G152&lt;&gt;"",IF(G152&lt;Lists!$L$11,"Early","On Time"),"")</f>
        <v>On Time</v>
      </c>
      <c r="M152" s="9" t="str">
        <f t="shared" si="5"/>
        <v>P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</row>
    <row r="153" spans="1:45" x14ac:dyDescent="0.3">
      <c r="A153" s="18">
        <v>46255</v>
      </c>
      <c r="B153" s="9" t="s">
        <v>446</v>
      </c>
      <c r="C153" s="9" t="str">
        <f>IFERROR(INDEX('Employee Master'!$B$10:$B$109,MATCH(B153,'Employee Master'!$A$10:$A$109,0)),"")</f>
        <v/>
      </c>
      <c r="D153" s="9" t="str">
        <f>IFERROR(INDEX('Employee Master'!$H$10:$H$109,MATCH(B153,'Employee Master'!$A$10:$A$109,0)),"")</f>
        <v/>
      </c>
      <c r="E153" s="16" t="s">
        <v>42</v>
      </c>
      <c r="F153" s="19">
        <v>0.37847222222222199</v>
      </c>
      <c r="G153" s="19">
        <v>0.75347222222222199</v>
      </c>
      <c r="H153" s="16">
        <v>2.5</v>
      </c>
      <c r="I153" s="9"/>
      <c r="J153" s="16">
        <f t="shared" si="4"/>
        <v>9</v>
      </c>
      <c r="K153" s="16" t="str">
        <f>IF(F153&lt;&gt;"",IF(F153&gt;Lists!$L$10,"Late","On Time"),"")</f>
        <v>On Time</v>
      </c>
      <c r="L153" s="16" t="str">
        <f>IF(G153&lt;&gt;"",IF(G153&lt;Lists!$L$11,"Early","On Time"),"")</f>
        <v>On Time</v>
      </c>
      <c r="M153" s="9" t="str">
        <f t="shared" si="5"/>
        <v>P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45" x14ac:dyDescent="0.3">
      <c r="A154" s="18">
        <v>46255</v>
      </c>
      <c r="B154" s="9" t="s">
        <v>447</v>
      </c>
      <c r="C154" s="9" t="str">
        <f>IFERROR(INDEX('Employee Master'!$B$10:$B$109,MATCH(B154,'Employee Master'!$A$10:$A$109,0)),"")</f>
        <v/>
      </c>
      <c r="D154" s="9" t="str">
        <f>IFERROR(INDEX('Employee Master'!$H$10:$H$109,MATCH(B154,'Employee Master'!$A$10:$A$109,0)),"")</f>
        <v/>
      </c>
      <c r="E154" s="16" t="s">
        <v>42</v>
      </c>
      <c r="F154" s="19">
        <v>0.38750000000000001</v>
      </c>
      <c r="G154" s="19">
        <v>0.75347222222222199</v>
      </c>
      <c r="H154" s="16">
        <v>0</v>
      </c>
      <c r="I154" s="9"/>
      <c r="J154" s="16">
        <f t="shared" si="4"/>
        <v>8.7799999999999994</v>
      </c>
      <c r="K154" s="16" t="str">
        <f>IF(F154&lt;&gt;"",IF(F154&gt;Lists!$L$10,"Late","On Time"),"")</f>
        <v>On Time</v>
      </c>
      <c r="L154" s="16" t="str">
        <f>IF(G154&lt;&gt;"",IF(G154&lt;Lists!$L$11,"Early","On Time"),"")</f>
        <v>On Time</v>
      </c>
      <c r="M154" s="9" t="str">
        <f t="shared" si="5"/>
        <v>P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</row>
    <row r="155" spans="1:45" x14ac:dyDescent="0.3">
      <c r="A155" s="18">
        <v>46255</v>
      </c>
      <c r="B155" s="9" t="s">
        <v>448</v>
      </c>
      <c r="C155" s="9" t="str">
        <f>IFERROR(INDEX('Employee Master'!$B$10:$B$109,MATCH(B155,'Employee Master'!$A$10:$A$109,0)),"")</f>
        <v/>
      </c>
      <c r="D155" s="9" t="str">
        <f>IFERROR(INDEX('Employee Master'!$H$10:$H$109,MATCH(B155,'Employee Master'!$A$10:$A$109,0)),"")</f>
        <v/>
      </c>
      <c r="E155" s="16" t="s">
        <v>42</v>
      </c>
      <c r="F155" s="19">
        <v>0.390277777777778</v>
      </c>
      <c r="G155" s="19">
        <v>0.75347222222222199</v>
      </c>
      <c r="H155" s="16">
        <v>0</v>
      </c>
      <c r="I155" s="9"/>
      <c r="J155" s="16">
        <f t="shared" si="4"/>
        <v>8.7200000000000006</v>
      </c>
      <c r="K155" s="16" t="str">
        <f>IF(F155&lt;&gt;"",IF(F155&gt;Lists!$L$10,"Late","On Time"),"")</f>
        <v>On Time</v>
      </c>
      <c r="L155" s="16" t="str">
        <f>IF(G155&lt;&gt;"",IF(G155&lt;Lists!$L$11,"Early","On Time"),"")</f>
        <v>On Time</v>
      </c>
      <c r="M155" s="9" t="str">
        <f t="shared" si="5"/>
        <v>P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</row>
    <row r="156" spans="1:45" x14ac:dyDescent="0.3">
      <c r="A156" s="18">
        <v>46255</v>
      </c>
      <c r="B156" s="9" t="s">
        <v>449</v>
      </c>
      <c r="C156" s="9" t="str">
        <f>IFERROR(INDEX('Employee Master'!$B$10:$B$109,MATCH(B156,'Employee Master'!$A$10:$A$109,0)),"")</f>
        <v/>
      </c>
      <c r="D156" s="9" t="str">
        <f>IFERROR(INDEX('Employee Master'!$H$10:$H$109,MATCH(B156,'Employee Master'!$A$10:$A$109,0)),"")</f>
        <v/>
      </c>
      <c r="E156" s="16" t="s">
        <v>42</v>
      </c>
      <c r="F156" s="19">
        <v>0.39236111111111099</v>
      </c>
      <c r="G156" s="19">
        <v>0.75</v>
      </c>
      <c r="H156" s="16">
        <v>0</v>
      </c>
      <c r="I156" s="9"/>
      <c r="J156" s="16">
        <f t="shared" si="4"/>
        <v>8.58</v>
      </c>
      <c r="K156" s="16" t="str">
        <f>IF(F156&lt;&gt;"",IF(F156&gt;Lists!$L$10,"Late","On Time"),"")</f>
        <v>On Time</v>
      </c>
      <c r="L156" s="16" t="str">
        <f>IF(G156&lt;&gt;"",IF(G156&lt;Lists!$L$11,"Early","On Time"),"")</f>
        <v>On Time</v>
      </c>
      <c r="M156" s="9" t="str">
        <f t="shared" si="5"/>
        <v>P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</row>
    <row r="157" spans="1:45" x14ac:dyDescent="0.3">
      <c r="A157" s="18">
        <v>46255</v>
      </c>
      <c r="B157" s="9" t="s">
        <v>450</v>
      </c>
      <c r="C157" s="9" t="str">
        <f>IFERROR(INDEX('Employee Master'!$B$10:$B$109,MATCH(B157,'Employee Master'!$A$10:$A$109,0)),"")</f>
        <v/>
      </c>
      <c r="D157" s="9" t="str">
        <f>IFERROR(INDEX('Employee Master'!$H$10:$H$109,MATCH(B157,'Employee Master'!$A$10:$A$109,0)),"")</f>
        <v/>
      </c>
      <c r="E157" s="16" t="s">
        <v>42</v>
      </c>
      <c r="F157" s="19">
        <v>0.38541666666666702</v>
      </c>
      <c r="G157" s="19">
        <v>0.77430555555555602</v>
      </c>
      <c r="H157" s="16">
        <v>0</v>
      </c>
      <c r="I157" s="9"/>
      <c r="J157" s="16">
        <f t="shared" si="4"/>
        <v>9.33</v>
      </c>
      <c r="K157" s="16" t="str">
        <f>IF(F157&lt;&gt;"",IF(F157&gt;Lists!$L$10,"Late","On Time"),"")</f>
        <v>On Time</v>
      </c>
      <c r="L157" s="16" t="str">
        <f>IF(G157&lt;&gt;"",IF(G157&lt;Lists!$L$11,"Early","On Time"),"")</f>
        <v>On Time</v>
      </c>
      <c r="M157" s="9" t="str">
        <f t="shared" si="5"/>
        <v>P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</row>
    <row r="158" spans="1:45" x14ac:dyDescent="0.3">
      <c r="A158" s="18">
        <v>46255</v>
      </c>
      <c r="B158" s="9" t="s">
        <v>451</v>
      </c>
      <c r="C158" s="9" t="str">
        <f>IFERROR(INDEX('Employee Master'!$B$10:$B$109,MATCH(B158,'Employee Master'!$A$10:$A$109,0)),"")</f>
        <v/>
      </c>
      <c r="D158" s="9" t="str">
        <f>IFERROR(INDEX('Employee Master'!$H$10:$H$109,MATCH(B158,'Employee Master'!$A$10:$A$109,0)),"")</f>
        <v/>
      </c>
      <c r="E158" s="16" t="s">
        <v>42</v>
      </c>
      <c r="F158" s="19">
        <v>0.38541666666666702</v>
      </c>
      <c r="G158" s="19">
        <v>0.75347222222222199</v>
      </c>
      <c r="H158" s="16">
        <v>0</v>
      </c>
      <c r="I158" s="9"/>
      <c r="J158" s="16">
        <f t="shared" si="4"/>
        <v>8.83</v>
      </c>
      <c r="K158" s="16" t="str">
        <f>IF(F158&lt;&gt;"",IF(F158&gt;Lists!$L$10,"Late","On Time"),"")</f>
        <v>On Time</v>
      </c>
      <c r="L158" s="16" t="str">
        <f>IF(G158&lt;&gt;"",IF(G158&lt;Lists!$L$11,"Early","On Time"),"")</f>
        <v>On Time</v>
      </c>
      <c r="M158" s="9" t="str">
        <f t="shared" si="5"/>
        <v>P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</row>
    <row r="159" spans="1:45" x14ac:dyDescent="0.3">
      <c r="A159" s="18">
        <v>46255</v>
      </c>
      <c r="B159" s="9" t="s">
        <v>452</v>
      </c>
      <c r="C159" s="9" t="str">
        <f>IFERROR(INDEX('Employee Master'!$B$10:$B$109,MATCH(B159,'Employee Master'!$A$10:$A$109,0)),"")</f>
        <v/>
      </c>
      <c r="D159" s="9" t="str">
        <f>IFERROR(INDEX('Employee Master'!$H$10:$H$109,MATCH(B159,'Employee Master'!$A$10:$A$109,0)),"")</f>
        <v/>
      </c>
      <c r="E159" s="16" t="s">
        <v>42</v>
      </c>
      <c r="F159" s="19">
        <v>0.38194444444444398</v>
      </c>
      <c r="G159" s="19">
        <v>0.75347222222222199</v>
      </c>
      <c r="H159" s="16">
        <v>0</v>
      </c>
      <c r="I159" s="9"/>
      <c r="J159" s="16">
        <f t="shared" si="4"/>
        <v>8.92</v>
      </c>
      <c r="K159" s="16" t="str">
        <f>IF(F159&lt;&gt;"",IF(F159&gt;Lists!$L$10,"Late","On Time"),"")</f>
        <v>On Time</v>
      </c>
      <c r="L159" s="16" t="str">
        <f>IF(G159&lt;&gt;"",IF(G159&lt;Lists!$L$11,"Early","On Time"),"")</f>
        <v>On Time</v>
      </c>
      <c r="M159" s="9" t="str">
        <f t="shared" si="5"/>
        <v>P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</row>
    <row r="160" spans="1:45" x14ac:dyDescent="0.3">
      <c r="A160" s="18">
        <v>46255</v>
      </c>
      <c r="B160" s="9" t="s">
        <v>453</v>
      </c>
      <c r="C160" s="9" t="str">
        <f>IFERROR(INDEX('Employee Master'!$B$10:$B$109,MATCH(B160,'Employee Master'!$A$10:$A$109,0)),"")</f>
        <v/>
      </c>
      <c r="D160" s="9" t="str">
        <f>IFERROR(INDEX('Employee Master'!$H$10:$H$109,MATCH(B160,'Employee Master'!$A$10:$A$109,0)),"")</f>
        <v/>
      </c>
      <c r="E160" s="16" t="s">
        <v>42</v>
      </c>
      <c r="F160" s="19">
        <v>0.38194444444444398</v>
      </c>
      <c r="G160" s="19">
        <v>0.75694444444444398</v>
      </c>
      <c r="H160" s="16">
        <v>2</v>
      </c>
      <c r="I160" s="9"/>
      <c r="J160" s="16">
        <f t="shared" si="4"/>
        <v>9</v>
      </c>
      <c r="K160" s="16" t="str">
        <f>IF(F160&lt;&gt;"",IF(F160&gt;Lists!$L$10,"Late","On Time"),"")</f>
        <v>On Time</v>
      </c>
      <c r="L160" s="16" t="str">
        <f>IF(G160&lt;&gt;"",IF(G160&lt;Lists!$L$11,"Early","On Time"),"")</f>
        <v>On Time</v>
      </c>
      <c r="M160" s="9" t="str">
        <f t="shared" si="5"/>
        <v>P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</row>
    <row r="161" spans="1:45" x14ac:dyDescent="0.3">
      <c r="A161" s="18">
        <v>46255</v>
      </c>
      <c r="B161" s="9" t="s">
        <v>454</v>
      </c>
      <c r="C161" s="9" t="str">
        <f>IFERROR(INDEX('Employee Master'!$B$10:$B$109,MATCH(B161,'Employee Master'!$A$10:$A$109,0)),"")</f>
        <v/>
      </c>
      <c r="D161" s="9" t="str">
        <f>IFERROR(INDEX('Employee Master'!$H$10:$H$109,MATCH(B161,'Employee Master'!$A$10:$A$109,0)),"")</f>
        <v/>
      </c>
      <c r="E161" s="16" t="s">
        <v>42</v>
      </c>
      <c r="F161" s="19">
        <v>0.390277777777778</v>
      </c>
      <c r="G161" s="19">
        <v>0.77430555555555602</v>
      </c>
      <c r="H161" s="16">
        <v>0</v>
      </c>
      <c r="I161" s="9"/>
      <c r="J161" s="16">
        <f t="shared" si="4"/>
        <v>9.2200000000000006</v>
      </c>
      <c r="K161" s="16" t="str">
        <f>IF(F161&lt;&gt;"",IF(F161&gt;Lists!$L$10,"Late","On Time"),"")</f>
        <v>On Time</v>
      </c>
      <c r="L161" s="16" t="str">
        <f>IF(G161&lt;&gt;"",IF(G161&lt;Lists!$L$11,"Early","On Time"),"")</f>
        <v>On Time</v>
      </c>
      <c r="M161" s="9" t="str">
        <f t="shared" si="5"/>
        <v>P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</row>
    <row r="162" spans="1:45" x14ac:dyDescent="0.3">
      <c r="A162" s="18">
        <v>46255</v>
      </c>
      <c r="B162" s="9" t="s">
        <v>455</v>
      </c>
      <c r="C162" s="9" t="str">
        <f>IFERROR(INDEX('Employee Master'!$B$10:$B$109,MATCH(B162,'Employee Master'!$A$10:$A$109,0)),"")</f>
        <v/>
      </c>
      <c r="D162" s="9" t="str">
        <f>IFERROR(INDEX('Employee Master'!$H$10:$H$109,MATCH(B162,'Employee Master'!$A$10:$A$109,0)),"")</f>
        <v/>
      </c>
      <c r="E162" s="16" t="s">
        <v>42</v>
      </c>
      <c r="F162" s="19">
        <v>0.39236111111111099</v>
      </c>
      <c r="G162" s="19">
        <v>0.76388888888888895</v>
      </c>
      <c r="H162" s="16">
        <v>0</v>
      </c>
      <c r="I162" s="9"/>
      <c r="J162" s="16">
        <f t="shared" si="4"/>
        <v>8.92</v>
      </c>
      <c r="K162" s="16" t="str">
        <f>IF(F162&lt;&gt;"",IF(F162&gt;Lists!$L$10,"Late","On Time"),"")</f>
        <v>On Time</v>
      </c>
      <c r="L162" s="16" t="str">
        <f>IF(G162&lt;&gt;"",IF(G162&lt;Lists!$L$11,"Early","On Time"),"")</f>
        <v>On Time</v>
      </c>
      <c r="M162" s="9" t="str">
        <f t="shared" si="5"/>
        <v>P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</row>
    <row r="163" spans="1:45" x14ac:dyDescent="0.3">
      <c r="A163" s="18">
        <v>46255</v>
      </c>
      <c r="B163" s="9" t="s">
        <v>456</v>
      </c>
      <c r="C163" s="9" t="str">
        <f>IFERROR(INDEX('Employee Master'!$B$10:$B$109,MATCH(B163,'Employee Master'!$A$10:$A$109,0)),"")</f>
        <v/>
      </c>
      <c r="D163" s="9" t="str">
        <f>IFERROR(INDEX('Employee Master'!$H$10:$H$109,MATCH(B163,'Employee Master'!$A$10:$A$109,0)),"")</f>
        <v/>
      </c>
      <c r="E163" s="16" t="s">
        <v>48</v>
      </c>
      <c r="F163" s="19">
        <v>0.38750000000000001</v>
      </c>
      <c r="G163" s="19">
        <v>0.5625</v>
      </c>
      <c r="H163" s="16">
        <v>0</v>
      </c>
      <c r="I163" s="9"/>
      <c r="J163" s="16">
        <f t="shared" si="4"/>
        <v>4.2</v>
      </c>
      <c r="K163" s="16" t="str">
        <f>IF(F163&lt;&gt;"",IF(F163&gt;Lists!$L$10,"Late","On Time"),"")</f>
        <v>On Time</v>
      </c>
      <c r="L163" s="16" t="str">
        <f>IF(G163&lt;&gt;"",IF(G163&lt;Lists!$L$11,"Early","On Time"),"")</f>
        <v>Early</v>
      </c>
      <c r="M163" s="9" t="str">
        <f t="shared" si="5"/>
        <v>HD +Early Exit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</row>
    <row r="164" spans="1:45" x14ac:dyDescent="0.3">
      <c r="A164" s="18">
        <v>46255</v>
      </c>
      <c r="B164" s="9" t="s">
        <v>457</v>
      </c>
      <c r="C164" s="9" t="str">
        <f>IFERROR(INDEX('Employee Master'!$B$10:$B$109,MATCH(B164,'Employee Master'!$A$10:$A$109,0)),"")</f>
        <v/>
      </c>
      <c r="D164" s="9" t="str">
        <f>IFERROR(INDEX('Employee Master'!$H$10:$H$109,MATCH(B164,'Employee Master'!$A$10:$A$109,0)),"")</f>
        <v/>
      </c>
      <c r="E164" s="16" t="s">
        <v>42</v>
      </c>
      <c r="F164" s="19">
        <v>0.38541666666666702</v>
      </c>
      <c r="G164" s="19">
        <v>0.75</v>
      </c>
      <c r="H164" s="16">
        <v>0</v>
      </c>
      <c r="I164" s="9"/>
      <c r="J164" s="16">
        <f t="shared" si="4"/>
        <v>8.75</v>
      </c>
      <c r="K164" s="16" t="str">
        <f>IF(F164&lt;&gt;"",IF(F164&gt;Lists!$L$10,"Late","On Time"),"")</f>
        <v>On Time</v>
      </c>
      <c r="L164" s="16" t="str">
        <f>IF(G164&lt;&gt;"",IF(G164&lt;Lists!$L$11,"Early","On Time"),"")</f>
        <v>On Time</v>
      </c>
      <c r="M164" s="9" t="str">
        <f t="shared" si="5"/>
        <v>P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</row>
    <row r="165" spans="1:45" x14ac:dyDescent="0.3">
      <c r="A165" s="18">
        <v>46255</v>
      </c>
      <c r="B165" s="9" t="s">
        <v>458</v>
      </c>
      <c r="C165" s="9" t="str">
        <f>IFERROR(INDEX('Employee Master'!$B$10:$B$109,MATCH(B165,'Employee Master'!$A$10:$A$109,0)),"")</f>
        <v/>
      </c>
      <c r="D165" s="9" t="str">
        <f>IFERROR(INDEX('Employee Master'!$H$10:$H$109,MATCH(B165,'Employee Master'!$A$10:$A$109,0)),"")</f>
        <v/>
      </c>
      <c r="E165" s="16" t="s">
        <v>42</v>
      </c>
      <c r="F165" s="19">
        <v>0.37847222222222199</v>
      </c>
      <c r="G165" s="19">
        <v>0.75347222222222199</v>
      </c>
      <c r="H165" s="16">
        <v>0</v>
      </c>
      <c r="I165" s="9"/>
      <c r="J165" s="16">
        <f t="shared" si="4"/>
        <v>9</v>
      </c>
      <c r="K165" s="16" t="str">
        <f>IF(F165&lt;&gt;"",IF(F165&gt;Lists!$L$10,"Late","On Time"),"")</f>
        <v>On Time</v>
      </c>
      <c r="L165" s="16" t="str">
        <f>IF(G165&lt;&gt;"",IF(G165&lt;Lists!$L$11,"Early","On Time"),"")</f>
        <v>On Time</v>
      </c>
      <c r="M165" s="9" t="str">
        <f t="shared" si="5"/>
        <v>P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</row>
    <row r="166" spans="1:45" x14ac:dyDescent="0.3">
      <c r="A166" s="18">
        <v>46255</v>
      </c>
      <c r="B166" s="9" t="s">
        <v>459</v>
      </c>
      <c r="C166" s="9" t="str">
        <f>IFERROR(INDEX('Employee Master'!$B$10:$B$109,MATCH(B166,'Employee Master'!$A$10:$A$109,0)),"")</f>
        <v/>
      </c>
      <c r="D166" s="9" t="str">
        <f>IFERROR(INDEX('Employee Master'!$H$10:$H$109,MATCH(B166,'Employee Master'!$A$10:$A$109,0)),"")</f>
        <v/>
      </c>
      <c r="E166" s="16" t="s">
        <v>42</v>
      </c>
      <c r="F166" s="19">
        <v>0.38194444444444398</v>
      </c>
      <c r="G166" s="19">
        <v>0.75</v>
      </c>
      <c r="H166" s="16">
        <v>0</v>
      </c>
      <c r="I166" s="9"/>
      <c r="J166" s="16">
        <f t="shared" si="4"/>
        <v>8.83</v>
      </c>
      <c r="K166" s="16" t="str">
        <f>IF(F166&lt;&gt;"",IF(F166&gt;Lists!$L$10,"Late","On Time"),"")</f>
        <v>On Time</v>
      </c>
      <c r="L166" s="16" t="str">
        <f>IF(G166&lt;&gt;"",IF(G166&lt;Lists!$L$11,"Early","On Time"),"")</f>
        <v>On Time</v>
      </c>
      <c r="M166" s="9" t="str">
        <f t="shared" si="5"/>
        <v>P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</row>
    <row r="167" spans="1:45" x14ac:dyDescent="0.3">
      <c r="A167" s="18">
        <v>46255</v>
      </c>
      <c r="B167" s="9" t="s">
        <v>460</v>
      </c>
      <c r="C167" s="9" t="str">
        <f>IFERROR(INDEX('Employee Master'!$B$10:$B$109,MATCH(B167,'Employee Master'!$A$10:$A$109,0)),"")</f>
        <v/>
      </c>
      <c r="D167" s="9" t="str">
        <f>IFERROR(INDEX('Employee Master'!$H$10:$H$109,MATCH(B167,'Employee Master'!$A$10:$A$109,0)),"")</f>
        <v/>
      </c>
      <c r="E167" s="16" t="s">
        <v>42</v>
      </c>
      <c r="F167" s="19">
        <v>0.38750000000000001</v>
      </c>
      <c r="G167" s="19">
        <v>0.77430555555555602</v>
      </c>
      <c r="H167" s="16">
        <v>0</v>
      </c>
      <c r="I167" s="9"/>
      <c r="J167" s="16">
        <f t="shared" si="4"/>
        <v>9.2799999999999994</v>
      </c>
      <c r="K167" s="16" t="str">
        <f>IF(F167&lt;&gt;"",IF(F167&gt;Lists!$L$10,"Late","On Time"),"")</f>
        <v>On Time</v>
      </c>
      <c r="L167" s="16" t="str">
        <f>IF(G167&lt;&gt;"",IF(G167&lt;Lists!$L$11,"Early","On Time"),"")</f>
        <v>On Time</v>
      </c>
      <c r="M167" s="9" t="str">
        <f t="shared" si="5"/>
        <v>P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</row>
    <row r="168" spans="1:45" x14ac:dyDescent="0.3">
      <c r="A168" s="18">
        <v>46255</v>
      </c>
      <c r="B168" s="9" t="s">
        <v>461</v>
      </c>
      <c r="C168" s="9" t="str">
        <f>IFERROR(INDEX('Employee Master'!$B$10:$B$109,MATCH(B168,'Employee Master'!$A$10:$A$109,0)),"")</f>
        <v/>
      </c>
      <c r="D168" s="9" t="str">
        <f>IFERROR(INDEX('Employee Master'!$H$10:$H$109,MATCH(B168,'Employee Master'!$A$10:$A$109,0)),"")</f>
        <v/>
      </c>
      <c r="E168" s="16" t="s">
        <v>42</v>
      </c>
      <c r="F168" s="19">
        <v>0.37847222222222199</v>
      </c>
      <c r="G168" s="19">
        <v>0.75</v>
      </c>
      <c r="H168" s="16">
        <v>0</v>
      </c>
      <c r="I168" s="9"/>
      <c r="J168" s="16">
        <f t="shared" si="4"/>
        <v>8.92</v>
      </c>
      <c r="K168" s="16" t="str">
        <f>IF(F168&lt;&gt;"",IF(F168&gt;Lists!$L$10,"Late","On Time"),"")</f>
        <v>On Time</v>
      </c>
      <c r="L168" s="16" t="str">
        <f>IF(G168&lt;&gt;"",IF(G168&lt;Lists!$L$11,"Early","On Time"),"")</f>
        <v>On Time</v>
      </c>
      <c r="M168" s="9" t="str">
        <f t="shared" si="5"/>
        <v>P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</row>
    <row r="169" spans="1:45" x14ac:dyDescent="0.3">
      <c r="A169" s="18">
        <v>46255</v>
      </c>
      <c r="B169" s="9" t="s">
        <v>462</v>
      </c>
      <c r="C169" s="9" t="str">
        <f>IFERROR(INDEX('Employee Master'!$B$10:$B$109,MATCH(B169,'Employee Master'!$A$10:$A$109,0)),"")</f>
        <v/>
      </c>
      <c r="D169" s="9" t="str">
        <f>IFERROR(INDEX('Employee Master'!$H$10:$H$109,MATCH(B169,'Employee Master'!$A$10:$A$109,0)),"")</f>
        <v/>
      </c>
      <c r="E169" s="16" t="s">
        <v>42</v>
      </c>
      <c r="F169" s="19">
        <v>0.38541666666666702</v>
      </c>
      <c r="G169" s="19">
        <v>0.75347222222222199</v>
      </c>
      <c r="H169" s="16">
        <v>2</v>
      </c>
      <c r="I169" s="9"/>
      <c r="J169" s="16">
        <f t="shared" si="4"/>
        <v>8.83</v>
      </c>
      <c r="K169" s="16" t="str">
        <f>IF(F169&lt;&gt;"",IF(F169&gt;Lists!$L$10,"Late","On Time"),"")</f>
        <v>On Time</v>
      </c>
      <c r="L169" s="16" t="str">
        <f>IF(G169&lt;&gt;"",IF(G169&lt;Lists!$L$11,"Early","On Time"),"")</f>
        <v>On Time</v>
      </c>
      <c r="M169" s="9" t="str">
        <f t="shared" si="5"/>
        <v>P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</row>
    <row r="170" spans="1:45" x14ac:dyDescent="0.3">
      <c r="A170" s="18">
        <v>46255</v>
      </c>
      <c r="B170" s="9" t="s">
        <v>463</v>
      </c>
      <c r="C170" s="9" t="str">
        <f>IFERROR(INDEX('Employee Master'!$B$10:$B$109,MATCH(B170,'Employee Master'!$A$10:$A$109,0)),"")</f>
        <v/>
      </c>
      <c r="D170" s="9" t="str">
        <f>IFERROR(INDEX('Employee Master'!$H$10:$H$109,MATCH(B170,'Employee Master'!$A$10:$A$109,0)),"")</f>
        <v/>
      </c>
      <c r="E170" s="16" t="s">
        <v>42</v>
      </c>
      <c r="F170" s="19">
        <v>0.43402777777777801</v>
      </c>
      <c r="G170" s="19">
        <v>0.42013888888888901</v>
      </c>
      <c r="H170" s="16">
        <v>0</v>
      </c>
      <c r="I170" s="9"/>
      <c r="J170" s="16">
        <f t="shared" si="4"/>
        <v>-0.33</v>
      </c>
      <c r="K170" s="16" t="str">
        <f>IF(F170&lt;&gt;"",IF(F170&gt;Lists!$L$10,"Late","On Time"),"")</f>
        <v>Late</v>
      </c>
      <c r="L170" s="16" t="str">
        <f>IF(G170&lt;&gt;"",IF(G170&lt;Lists!$L$11,"Early","On Time"),"")</f>
        <v>Early</v>
      </c>
      <c r="M170" s="9" t="str">
        <f t="shared" si="5"/>
        <v>P +Late +Early Exit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</row>
    <row r="171" spans="1:45" x14ac:dyDescent="0.3">
      <c r="A171" s="18">
        <v>46255</v>
      </c>
      <c r="B171" s="9" t="s">
        <v>464</v>
      </c>
      <c r="C171" s="9" t="str">
        <f>IFERROR(INDEX('Employee Master'!$B$10:$B$109,MATCH(B171,'Employee Master'!$A$10:$A$109,0)),"")</f>
        <v/>
      </c>
      <c r="D171" s="9" t="str">
        <f>IFERROR(INDEX('Employee Master'!$H$10:$H$109,MATCH(B171,'Employee Master'!$A$10:$A$109,0)),"")</f>
        <v/>
      </c>
      <c r="E171" s="16" t="s">
        <v>42</v>
      </c>
      <c r="F171" s="19">
        <v>0.37847222222222199</v>
      </c>
      <c r="G171" s="19">
        <v>0.75694444444444398</v>
      </c>
      <c r="H171" s="16">
        <v>0</v>
      </c>
      <c r="I171" s="9"/>
      <c r="J171" s="16">
        <f t="shared" si="4"/>
        <v>9.08</v>
      </c>
      <c r="K171" s="16" t="str">
        <f>IF(F171&lt;&gt;"",IF(F171&gt;Lists!$L$10,"Late","On Time"),"")</f>
        <v>On Time</v>
      </c>
      <c r="L171" s="16" t="str">
        <f>IF(G171&lt;&gt;"",IF(G171&lt;Lists!$L$11,"Early","On Time"),"")</f>
        <v>On Time</v>
      </c>
      <c r="M171" s="9" t="str">
        <f t="shared" si="5"/>
        <v>P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</row>
    <row r="172" spans="1:45" x14ac:dyDescent="0.3">
      <c r="A172" s="18">
        <v>46255</v>
      </c>
      <c r="B172" s="9" t="s">
        <v>465</v>
      </c>
      <c r="C172" s="9" t="str">
        <f>IFERROR(INDEX('Employee Master'!$B$10:$B$109,MATCH(B172,'Employee Master'!$A$10:$A$109,0)),"")</f>
        <v/>
      </c>
      <c r="D172" s="9" t="str">
        <f>IFERROR(INDEX('Employee Master'!$H$10:$H$109,MATCH(B172,'Employee Master'!$A$10:$A$109,0)),"")</f>
        <v/>
      </c>
      <c r="E172" s="16" t="s">
        <v>42</v>
      </c>
      <c r="F172" s="19">
        <v>0.390277777777778</v>
      </c>
      <c r="G172" s="19">
        <v>0.75694444444444398</v>
      </c>
      <c r="H172" s="16">
        <v>1</v>
      </c>
      <c r="I172" s="9"/>
      <c r="J172" s="16">
        <f t="shared" si="4"/>
        <v>8.8000000000000007</v>
      </c>
      <c r="K172" s="16" t="str">
        <f>IF(F172&lt;&gt;"",IF(F172&gt;Lists!$L$10,"Late","On Time"),"")</f>
        <v>On Time</v>
      </c>
      <c r="L172" s="16" t="str">
        <f>IF(G172&lt;&gt;"",IF(G172&lt;Lists!$L$11,"Early","On Time"),"")</f>
        <v>On Time</v>
      </c>
      <c r="M172" s="9" t="str">
        <f t="shared" si="5"/>
        <v>P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</row>
    <row r="173" spans="1:45" x14ac:dyDescent="0.3">
      <c r="A173" s="18">
        <v>46255</v>
      </c>
      <c r="B173" s="9" t="s">
        <v>466</v>
      </c>
      <c r="C173" s="9" t="str">
        <f>IFERROR(INDEX('Employee Master'!$B$10:$B$109,MATCH(B173,'Employee Master'!$A$10:$A$109,0)),"")</f>
        <v/>
      </c>
      <c r="D173" s="9" t="str">
        <f>IFERROR(INDEX('Employee Master'!$H$10:$H$109,MATCH(B173,'Employee Master'!$A$10:$A$109,0)),"")</f>
        <v/>
      </c>
      <c r="E173" s="16" t="s">
        <v>42</v>
      </c>
      <c r="F173" s="19">
        <v>0.390277777777778</v>
      </c>
      <c r="G173" s="19">
        <v>0.76388888888888895</v>
      </c>
      <c r="H173" s="16">
        <v>1</v>
      </c>
      <c r="I173" s="9"/>
      <c r="J173" s="16">
        <f t="shared" si="4"/>
        <v>8.9700000000000006</v>
      </c>
      <c r="K173" s="16" t="str">
        <f>IF(F173&lt;&gt;"",IF(F173&gt;Lists!$L$10,"Late","On Time"),"")</f>
        <v>On Time</v>
      </c>
      <c r="L173" s="16" t="str">
        <f>IF(G173&lt;&gt;"",IF(G173&lt;Lists!$L$11,"Early","On Time"),"")</f>
        <v>On Time</v>
      </c>
      <c r="M173" s="9" t="str">
        <f t="shared" si="5"/>
        <v>P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</row>
    <row r="174" spans="1:45" x14ac:dyDescent="0.3">
      <c r="A174" s="18">
        <v>46255</v>
      </c>
      <c r="B174" s="9" t="s">
        <v>467</v>
      </c>
      <c r="C174" s="9" t="str">
        <f>IFERROR(INDEX('Employee Master'!$B$10:$B$109,MATCH(B174,'Employee Master'!$A$10:$A$109,0)),"")</f>
        <v/>
      </c>
      <c r="D174" s="9" t="str">
        <f>IFERROR(INDEX('Employee Master'!$H$10:$H$109,MATCH(B174,'Employee Master'!$A$10:$A$109,0)),"")</f>
        <v/>
      </c>
      <c r="E174" s="16" t="s">
        <v>42</v>
      </c>
      <c r="F174" s="19">
        <v>0.39236111111111099</v>
      </c>
      <c r="G174" s="19">
        <v>0.77430555555555602</v>
      </c>
      <c r="H174" s="16">
        <v>3</v>
      </c>
      <c r="I174" s="9"/>
      <c r="J174" s="16">
        <f t="shared" si="4"/>
        <v>9.17</v>
      </c>
      <c r="K174" s="16" t="str">
        <f>IF(F174&lt;&gt;"",IF(F174&gt;Lists!$L$10,"Late","On Time"),"")</f>
        <v>On Time</v>
      </c>
      <c r="L174" s="16" t="str">
        <f>IF(G174&lt;&gt;"",IF(G174&lt;Lists!$L$11,"Early","On Time"),"")</f>
        <v>On Time</v>
      </c>
      <c r="M174" s="9" t="str">
        <f t="shared" si="5"/>
        <v>P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</row>
    <row r="175" spans="1:45" x14ac:dyDescent="0.3">
      <c r="A175" s="18">
        <v>46255</v>
      </c>
      <c r="B175" s="9" t="s">
        <v>468</v>
      </c>
      <c r="C175" s="9" t="str">
        <f>IFERROR(INDEX('Employee Master'!$B$10:$B$109,MATCH(B175,'Employee Master'!$A$10:$A$109,0)),"")</f>
        <v/>
      </c>
      <c r="D175" s="9" t="str">
        <f>IFERROR(INDEX('Employee Master'!$H$10:$H$109,MATCH(B175,'Employee Master'!$A$10:$A$109,0)),"")</f>
        <v/>
      </c>
      <c r="E175" s="16" t="s">
        <v>48</v>
      </c>
      <c r="F175" s="19">
        <v>0.38194444444444398</v>
      </c>
      <c r="G175" s="19">
        <v>0.5625</v>
      </c>
      <c r="H175" s="16">
        <v>0</v>
      </c>
      <c r="I175" s="9"/>
      <c r="J175" s="16">
        <f t="shared" si="4"/>
        <v>4.33</v>
      </c>
      <c r="K175" s="16" t="str">
        <f>IF(F175&lt;&gt;"",IF(F175&gt;Lists!$L$10,"Late","On Time"),"")</f>
        <v>On Time</v>
      </c>
      <c r="L175" s="16" t="str">
        <f>IF(G175&lt;&gt;"",IF(G175&lt;Lists!$L$11,"Early","On Time"),"")</f>
        <v>Early</v>
      </c>
      <c r="M175" s="9" t="str">
        <f t="shared" si="5"/>
        <v>HD +Early Exit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</row>
    <row r="176" spans="1:45" x14ac:dyDescent="0.3">
      <c r="A176" s="18">
        <v>46255</v>
      </c>
      <c r="B176" s="9" t="s">
        <v>469</v>
      </c>
      <c r="C176" s="9" t="str">
        <f>IFERROR(INDEX('Employee Master'!$B$10:$B$109,MATCH(B176,'Employee Master'!$A$10:$A$109,0)),"")</f>
        <v/>
      </c>
      <c r="D176" s="9" t="str">
        <f>IFERROR(INDEX('Employee Master'!$H$10:$H$109,MATCH(B176,'Employee Master'!$A$10:$A$109,0)),"")</f>
        <v/>
      </c>
      <c r="E176" s="16" t="s">
        <v>42</v>
      </c>
      <c r="F176" s="19">
        <v>0.38750000000000001</v>
      </c>
      <c r="G176" s="19">
        <v>0.75694444444444398</v>
      </c>
      <c r="H176" s="16">
        <v>0</v>
      </c>
      <c r="I176" s="9"/>
      <c r="J176" s="16">
        <f t="shared" si="4"/>
        <v>8.8699999999999992</v>
      </c>
      <c r="K176" s="16" t="str">
        <f>IF(F176&lt;&gt;"",IF(F176&gt;Lists!$L$10,"Late","On Time"),"")</f>
        <v>On Time</v>
      </c>
      <c r="L176" s="16" t="str">
        <f>IF(G176&lt;&gt;"",IF(G176&lt;Lists!$L$11,"Early","On Time"),"")</f>
        <v>On Time</v>
      </c>
      <c r="M176" s="9" t="str">
        <f t="shared" si="5"/>
        <v>P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</row>
    <row r="177" spans="1:45" x14ac:dyDescent="0.3">
      <c r="A177" s="18">
        <v>46255</v>
      </c>
      <c r="B177" s="9" t="s">
        <v>470</v>
      </c>
      <c r="C177" s="9" t="str">
        <f>IFERROR(INDEX('Employee Master'!$B$10:$B$109,MATCH(B177,'Employee Master'!$A$10:$A$109,0)),"")</f>
        <v/>
      </c>
      <c r="D177" s="9" t="str">
        <f>IFERROR(INDEX('Employee Master'!$H$10:$H$109,MATCH(B177,'Employee Master'!$A$10:$A$109,0)),"")</f>
        <v/>
      </c>
      <c r="E177" s="16" t="s">
        <v>42</v>
      </c>
      <c r="F177" s="19">
        <v>0.37847222222222199</v>
      </c>
      <c r="G177" s="19">
        <v>0.75694444444444398</v>
      </c>
      <c r="H177" s="16">
        <v>0</v>
      </c>
      <c r="I177" s="9"/>
      <c r="J177" s="16">
        <f t="shared" si="4"/>
        <v>9.08</v>
      </c>
      <c r="K177" s="16" t="str">
        <f>IF(F177&lt;&gt;"",IF(F177&gt;Lists!$L$10,"Late","On Time"),"")</f>
        <v>On Time</v>
      </c>
      <c r="L177" s="16" t="str">
        <f>IF(G177&lt;&gt;"",IF(G177&lt;Lists!$L$11,"Early","On Time"),"")</f>
        <v>On Time</v>
      </c>
      <c r="M177" s="9" t="str">
        <f t="shared" si="5"/>
        <v>P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</row>
    <row r="178" spans="1:45" x14ac:dyDescent="0.3">
      <c r="A178" s="18">
        <v>46255</v>
      </c>
      <c r="B178" s="9" t="s">
        <v>471</v>
      </c>
      <c r="C178" s="9" t="str">
        <f>IFERROR(INDEX('Employee Master'!$B$10:$B$109,MATCH(B178,'Employee Master'!$A$10:$A$109,0)),"")</f>
        <v/>
      </c>
      <c r="D178" s="9" t="str">
        <f>IFERROR(INDEX('Employee Master'!$H$10:$H$109,MATCH(B178,'Employee Master'!$A$10:$A$109,0)),"")</f>
        <v/>
      </c>
      <c r="E178" s="16" t="s">
        <v>42</v>
      </c>
      <c r="F178" s="19">
        <v>0.38750000000000001</v>
      </c>
      <c r="G178" s="19">
        <v>0.76388888888888895</v>
      </c>
      <c r="H178" s="16">
        <v>2</v>
      </c>
      <c r="I178" s="9"/>
      <c r="J178" s="16">
        <f t="shared" si="4"/>
        <v>9.0299999999999994</v>
      </c>
      <c r="K178" s="16" t="str">
        <f>IF(F178&lt;&gt;"",IF(F178&gt;Lists!$L$10,"Late","On Time"),"")</f>
        <v>On Time</v>
      </c>
      <c r="L178" s="16" t="str">
        <f>IF(G178&lt;&gt;"",IF(G178&lt;Lists!$L$11,"Early","On Time"),"")</f>
        <v>On Time</v>
      </c>
      <c r="M178" s="9" t="str">
        <f t="shared" si="5"/>
        <v>P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</row>
    <row r="179" spans="1:45" x14ac:dyDescent="0.3">
      <c r="A179" s="18">
        <v>46255</v>
      </c>
      <c r="B179" s="9" t="s">
        <v>472</v>
      </c>
      <c r="C179" s="9" t="str">
        <f>IFERROR(INDEX('Employee Master'!$B$10:$B$109,MATCH(B179,'Employee Master'!$A$10:$A$109,0)),"")</f>
        <v/>
      </c>
      <c r="D179" s="9" t="str">
        <f>IFERROR(INDEX('Employee Master'!$H$10:$H$109,MATCH(B179,'Employee Master'!$A$10:$A$109,0)),"")</f>
        <v/>
      </c>
      <c r="E179" s="16" t="s">
        <v>42</v>
      </c>
      <c r="F179" s="19">
        <v>0.38750000000000001</v>
      </c>
      <c r="G179" s="19">
        <v>0.76388888888888895</v>
      </c>
      <c r="H179" s="16">
        <v>0</v>
      </c>
      <c r="I179" s="9"/>
      <c r="J179" s="16">
        <f t="shared" si="4"/>
        <v>9.0299999999999994</v>
      </c>
      <c r="K179" s="16" t="str">
        <f>IF(F179&lt;&gt;"",IF(F179&gt;Lists!$L$10,"Late","On Time"),"")</f>
        <v>On Time</v>
      </c>
      <c r="L179" s="16" t="str">
        <f>IF(G179&lt;&gt;"",IF(G179&lt;Lists!$L$11,"Early","On Time"),"")</f>
        <v>On Time</v>
      </c>
      <c r="M179" s="9" t="str">
        <f t="shared" si="5"/>
        <v>P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</row>
    <row r="180" spans="1:45" x14ac:dyDescent="0.3">
      <c r="A180" s="18">
        <v>46256</v>
      </c>
      <c r="B180" s="9" t="s">
        <v>473</v>
      </c>
      <c r="C180" s="9" t="str">
        <f>IFERROR(INDEX('Employee Master'!$B$10:$B$109,MATCH(B180,'Employee Master'!$A$10:$A$109,0)),"")</f>
        <v/>
      </c>
      <c r="D180" s="9" t="str">
        <f>IFERROR(INDEX('Employee Master'!$H$10:$H$109,MATCH(B180,'Employee Master'!$A$10:$A$109,0)),"")</f>
        <v/>
      </c>
      <c r="E180" s="16" t="s">
        <v>44</v>
      </c>
      <c r="F180" s="19"/>
      <c r="G180" s="19"/>
      <c r="H180" s="16">
        <v>0</v>
      </c>
      <c r="I180" s="9"/>
      <c r="J180" s="16" t="str">
        <f t="shared" si="4"/>
        <v/>
      </c>
      <c r="K180" s="16" t="str">
        <f>IF(F180&lt;&gt;"",IF(F180&gt;Lists!$L$10,"Late","On Time"),"")</f>
        <v/>
      </c>
      <c r="L180" s="16" t="str">
        <f>IF(G180&lt;&gt;"",IF(G180&lt;Lists!$L$11,"Early","On Time"),"")</f>
        <v/>
      </c>
      <c r="M180" s="9" t="str">
        <f t="shared" si="5"/>
        <v>A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</row>
    <row r="181" spans="1:45" x14ac:dyDescent="0.3">
      <c r="A181" s="18">
        <v>46256</v>
      </c>
      <c r="B181" s="9" t="s">
        <v>474</v>
      </c>
      <c r="C181" s="9" t="str">
        <f>IFERROR(INDEX('Employee Master'!$B$10:$B$109,MATCH(B181,'Employee Master'!$A$10:$A$109,0)),"")</f>
        <v/>
      </c>
      <c r="D181" s="9" t="str">
        <f>IFERROR(INDEX('Employee Master'!$H$10:$H$109,MATCH(B181,'Employee Master'!$A$10:$A$109,0)),"")</f>
        <v/>
      </c>
      <c r="E181" s="16" t="s">
        <v>42</v>
      </c>
      <c r="F181" s="19">
        <v>0.42708333333333298</v>
      </c>
      <c r="G181" s="19">
        <v>0.42013888888888901</v>
      </c>
      <c r="H181" s="16">
        <v>0</v>
      </c>
      <c r="I181" s="9"/>
      <c r="J181" s="16">
        <f t="shared" si="4"/>
        <v>-0.17</v>
      </c>
      <c r="K181" s="16" t="str">
        <f>IF(F181&lt;&gt;"",IF(F181&gt;Lists!$L$10,"Late","On Time"),"")</f>
        <v>Late</v>
      </c>
      <c r="L181" s="16" t="str">
        <f>IF(G181&lt;&gt;"",IF(G181&lt;Lists!$L$11,"Early","On Time"),"")</f>
        <v>Early</v>
      </c>
      <c r="M181" s="9" t="str">
        <f t="shared" si="5"/>
        <v>P +Late +Early Exit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</row>
    <row r="182" spans="1:45" x14ac:dyDescent="0.3">
      <c r="A182" s="18">
        <v>46256</v>
      </c>
      <c r="B182" s="9" t="s">
        <v>475</v>
      </c>
      <c r="C182" s="9" t="str">
        <f>IFERROR(INDEX('Employee Master'!$B$10:$B$109,MATCH(B182,'Employee Master'!$A$10:$A$109,0)),"")</f>
        <v/>
      </c>
      <c r="D182" s="9" t="str">
        <f>IFERROR(INDEX('Employee Master'!$H$10:$H$109,MATCH(B182,'Employee Master'!$A$10:$A$109,0)),"")</f>
        <v/>
      </c>
      <c r="E182" s="16" t="s">
        <v>42</v>
      </c>
      <c r="F182" s="19">
        <v>0.43402777777777801</v>
      </c>
      <c r="G182" s="19">
        <v>0.42013888888888901</v>
      </c>
      <c r="H182" s="16">
        <v>0</v>
      </c>
      <c r="I182" s="9"/>
      <c r="J182" s="16">
        <f t="shared" si="4"/>
        <v>-0.33</v>
      </c>
      <c r="K182" s="16" t="str">
        <f>IF(F182&lt;&gt;"",IF(F182&gt;Lists!$L$10,"Late","On Time"),"")</f>
        <v>Late</v>
      </c>
      <c r="L182" s="16" t="str">
        <f>IF(G182&lt;&gt;"",IF(G182&lt;Lists!$L$11,"Early","On Time"),"")</f>
        <v>Early</v>
      </c>
      <c r="M182" s="9" t="str">
        <f t="shared" si="5"/>
        <v>P +Late +Early Exit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</row>
    <row r="183" spans="1:45" x14ac:dyDescent="0.3">
      <c r="A183" s="18">
        <v>46256</v>
      </c>
      <c r="B183" s="9" t="s">
        <v>476</v>
      </c>
      <c r="C183" s="9" t="str">
        <f>IFERROR(INDEX('Employee Master'!$B$10:$B$109,MATCH(B183,'Employee Master'!$A$10:$A$109,0)),"")</f>
        <v/>
      </c>
      <c r="D183" s="9" t="str">
        <f>IFERROR(INDEX('Employee Master'!$H$10:$H$109,MATCH(B183,'Employee Master'!$A$10:$A$109,0)),"")</f>
        <v/>
      </c>
      <c r="E183" s="16" t="s">
        <v>42</v>
      </c>
      <c r="F183" s="19">
        <v>0.390277777777778</v>
      </c>
      <c r="G183" s="19">
        <v>0.77430555555555602</v>
      </c>
      <c r="H183" s="16">
        <v>0</v>
      </c>
      <c r="I183" s="9"/>
      <c r="J183" s="16">
        <f t="shared" si="4"/>
        <v>9.2200000000000006</v>
      </c>
      <c r="K183" s="16" t="str">
        <f>IF(F183&lt;&gt;"",IF(F183&gt;Lists!$L$10,"Late","On Time"),"")</f>
        <v>On Time</v>
      </c>
      <c r="L183" s="16" t="str">
        <f>IF(G183&lt;&gt;"",IF(G183&lt;Lists!$L$11,"Early","On Time"),"")</f>
        <v>On Time</v>
      </c>
      <c r="M183" s="9" t="str">
        <f t="shared" si="5"/>
        <v>P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</row>
    <row r="184" spans="1:45" x14ac:dyDescent="0.3">
      <c r="A184" s="18">
        <v>46256</v>
      </c>
      <c r="B184" s="9" t="s">
        <v>477</v>
      </c>
      <c r="C184" s="9" t="str">
        <f>IFERROR(INDEX('Employee Master'!$B$10:$B$109,MATCH(B184,'Employee Master'!$A$10:$A$109,0)),"")</f>
        <v/>
      </c>
      <c r="D184" s="9" t="str">
        <f>IFERROR(INDEX('Employee Master'!$H$10:$H$109,MATCH(B184,'Employee Master'!$A$10:$A$109,0)),"")</f>
        <v/>
      </c>
      <c r="E184" s="16" t="s">
        <v>42</v>
      </c>
      <c r="F184" s="19">
        <v>0.38194444444444398</v>
      </c>
      <c r="G184" s="19">
        <v>0.75347222222222199</v>
      </c>
      <c r="H184" s="16">
        <v>0</v>
      </c>
      <c r="I184" s="9"/>
      <c r="J184" s="16">
        <f t="shared" si="4"/>
        <v>8.92</v>
      </c>
      <c r="K184" s="16" t="str">
        <f>IF(F184&lt;&gt;"",IF(F184&gt;Lists!$L$10,"Late","On Time"),"")</f>
        <v>On Time</v>
      </c>
      <c r="L184" s="16" t="str">
        <f>IF(G184&lt;&gt;"",IF(G184&lt;Lists!$L$11,"Early","On Time"),"")</f>
        <v>On Time</v>
      </c>
      <c r="M184" s="9" t="str">
        <f t="shared" si="5"/>
        <v>P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</row>
    <row r="185" spans="1:45" x14ac:dyDescent="0.3">
      <c r="A185" s="18">
        <v>46256</v>
      </c>
      <c r="B185" s="9" t="s">
        <v>478</v>
      </c>
      <c r="C185" s="9" t="str">
        <f>IFERROR(INDEX('Employee Master'!$B$10:$B$109,MATCH(B185,'Employee Master'!$A$10:$A$109,0)),"")</f>
        <v/>
      </c>
      <c r="D185" s="9" t="str">
        <f>IFERROR(INDEX('Employee Master'!$H$10:$H$109,MATCH(B185,'Employee Master'!$A$10:$A$109,0)),"")</f>
        <v/>
      </c>
      <c r="E185" s="16" t="s">
        <v>42</v>
      </c>
      <c r="F185" s="19">
        <v>0.38194444444444398</v>
      </c>
      <c r="G185" s="19">
        <v>0.75</v>
      </c>
      <c r="H185" s="16">
        <v>2.5</v>
      </c>
      <c r="I185" s="9"/>
      <c r="J185" s="16">
        <f t="shared" si="4"/>
        <v>8.83</v>
      </c>
      <c r="K185" s="16" t="str">
        <f>IF(F185&lt;&gt;"",IF(F185&gt;Lists!$L$10,"Late","On Time"),"")</f>
        <v>On Time</v>
      </c>
      <c r="L185" s="16" t="str">
        <f>IF(G185&lt;&gt;"",IF(G185&lt;Lists!$L$11,"Early","On Time"),"")</f>
        <v>On Time</v>
      </c>
      <c r="M185" s="9" t="str">
        <f t="shared" si="5"/>
        <v>P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</row>
    <row r="186" spans="1:45" x14ac:dyDescent="0.3">
      <c r="A186" s="18">
        <v>46256</v>
      </c>
      <c r="B186" s="9" t="s">
        <v>479</v>
      </c>
      <c r="C186" s="9" t="str">
        <f>IFERROR(INDEX('Employee Master'!$B$10:$B$109,MATCH(B186,'Employee Master'!$A$10:$A$109,0)),"")</f>
        <v/>
      </c>
      <c r="D186" s="9" t="str">
        <f>IFERROR(INDEX('Employee Master'!$H$10:$H$109,MATCH(B186,'Employee Master'!$A$10:$A$109,0)),"")</f>
        <v/>
      </c>
      <c r="E186" s="16" t="s">
        <v>42</v>
      </c>
      <c r="F186" s="19">
        <v>0.38194444444444398</v>
      </c>
      <c r="G186" s="19">
        <v>0.75694444444444398</v>
      </c>
      <c r="H186" s="16">
        <v>1</v>
      </c>
      <c r="I186" s="9"/>
      <c r="J186" s="16">
        <f t="shared" si="4"/>
        <v>9</v>
      </c>
      <c r="K186" s="16" t="str">
        <f>IF(F186&lt;&gt;"",IF(F186&gt;Lists!$L$10,"Late","On Time"),"")</f>
        <v>On Time</v>
      </c>
      <c r="L186" s="16" t="str">
        <f>IF(G186&lt;&gt;"",IF(G186&lt;Lists!$L$11,"Early","On Time"),"")</f>
        <v>On Time</v>
      </c>
      <c r="M186" s="9" t="str">
        <f t="shared" si="5"/>
        <v>P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</row>
    <row r="187" spans="1:45" x14ac:dyDescent="0.3">
      <c r="A187" s="18">
        <v>46256</v>
      </c>
      <c r="B187" s="9" t="s">
        <v>480</v>
      </c>
      <c r="C187" s="9" t="str">
        <f>IFERROR(INDEX('Employee Master'!$B$10:$B$109,MATCH(B187,'Employee Master'!$A$10:$A$109,0)),"")</f>
        <v/>
      </c>
      <c r="D187" s="9" t="str">
        <f>IFERROR(INDEX('Employee Master'!$H$10:$H$109,MATCH(B187,'Employee Master'!$A$10:$A$109,0)),"")</f>
        <v/>
      </c>
      <c r="E187" s="16" t="s">
        <v>42</v>
      </c>
      <c r="F187" s="19">
        <v>0.38750000000000001</v>
      </c>
      <c r="G187" s="19">
        <v>0.75694444444444398</v>
      </c>
      <c r="H187" s="16">
        <v>2.5</v>
      </c>
      <c r="I187" s="9"/>
      <c r="J187" s="16">
        <f t="shared" si="4"/>
        <v>8.8699999999999992</v>
      </c>
      <c r="K187" s="16" t="str">
        <f>IF(F187&lt;&gt;"",IF(F187&gt;Lists!$L$10,"Late","On Time"),"")</f>
        <v>On Time</v>
      </c>
      <c r="L187" s="16" t="str">
        <f>IF(G187&lt;&gt;"",IF(G187&lt;Lists!$L$11,"Early","On Time"),"")</f>
        <v>On Time</v>
      </c>
      <c r="M187" s="9" t="str">
        <f t="shared" si="5"/>
        <v>P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</row>
    <row r="188" spans="1:45" x14ac:dyDescent="0.3">
      <c r="A188" s="18">
        <v>46256</v>
      </c>
      <c r="B188" s="9" t="s">
        <v>481</v>
      </c>
      <c r="C188" s="9" t="str">
        <f>IFERROR(INDEX('Employee Master'!$B$10:$B$109,MATCH(B188,'Employee Master'!$A$10:$A$109,0)),"")</f>
        <v/>
      </c>
      <c r="D188" s="9" t="str">
        <f>IFERROR(INDEX('Employee Master'!$H$10:$H$109,MATCH(B188,'Employee Master'!$A$10:$A$109,0)),"")</f>
        <v/>
      </c>
      <c r="E188" s="16" t="s">
        <v>46</v>
      </c>
      <c r="F188" s="19"/>
      <c r="G188" s="19"/>
      <c r="H188" s="16">
        <v>0</v>
      </c>
      <c r="I188" s="9"/>
      <c r="J188" s="16" t="str">
        <f t="shared" si="4"/>
        <v/>
      </c>
      <c r="K188" s="16" t="str">
        <f>IF(F188&lt;&gt;"",IF(F188&gt;Lists!$L$10,"Late","On Time"),"")</f>
        <v/>
      </c>
      <c r="L188" s="16" t="str">
        <f>IF(G188&lt;&gt;"",IF(G188&lt;Lists!$L$11,"Early","On Time"),"")</f>
        <v/>
      </c>
      <c r="M188" s="9" t="str">
        <f t="shared" si="5"/>
        <v>WO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</row>
    <row r="189" spans="1:45" x14ac:dyDescent="0.3">
      <c r="A189" s="18">
        <v>46256</v>
      </c>
      <c r="B189" s="9" t="s">
        <v>482</v>
      </c>
      <c r="C189" s="9" t="str">
        <f>IFERROR(INDEX('Employee Master'!$B$10:$B$109,MATCH(B189,'Employee Master'!$A$10:$A$109,0)),"")</f>
        <v/>
      </c>
      <c r="D189" s="9" t="str">
        <f>IFERROR(INDEX('Employee Master'!$H$10:$H$109,MATCH(B189,'Employee Master'!$A$10:$A$109,0)),"")</f>
        <v/>
      </c>
      <c r="E189" s="16" t="s">
        <v>42</v>
      </c>
      <c r="F189" s="19">
        <v>0.38194444444444398</v>
      </c>
      <c r="G189" s="19">
        <v>0.75347222222222199</v>
      </c>
      <c r="H189" s="16">
        <v>0</v>
      </c>
      <c r="I189" s="9"/>
      <c r="J189" s="16">
        <f t="shared" si="4"/>
        <v>8.92</v>
      </c>
      <c r="K189" s="16" t="str">
        <f>IF(F189&lt;&gt;"",IF(F189&gt;Lists!$L$10,"Late","On Time"),"")</f>
        <v>On Time</v>
      </c>
      <c r="L189" s="16" t="str">
        <f>IF(G189&lt;&gt;"",IF(G189&lt;Lists!$L$11,"Early","On Time"),"")</f>
        <v>On Time</v>
      </c>
      <c r="M189" s="9" t="str">
        <f t="shared" si="5"/>
        <v>P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</row>
    <row r="190" spans="1:45" x14ac:dyDescent="0.3">
      <c r="A190" s="18">
        <v>46256</v>
      </c>
      <c r="B190" s="9" t="s">
        <v>483</v>
      </c>
      <c r="C190" s="9" t="str">
        <f>IFERROR(INDEX('Employee Master'!$B$10:$B$109,MATCH(B190,'Employee Master'!$A$10:$A$109,0)),"")</f>
        <v/>
      </c>
      <c r="D190" s="9" t="str">
        <f>IFERROR(INDEX('Employee Master'!$H$10:$H$109,MATCH(B190,'Employee Master'!$A$10:$A$109,0)),"")</f>
        <v/>
      </c>
      <c r="E190" s="16" t="s">
        <v>42</v>
      </c>
      <c r="F190" s="19">
        <v>0.38194444444444398</v>
      </c>
      <c r="G190" s="19">
        <v>0.76388888888888895</v>
      </c>
      <c r="H190" s="16">
        <v>0</v>
      </c>
      <c r="I190" s="9"/>
      <c r="J190" s="16">
        <f t="shared" si="4"/>
        <v>9.17</v>
      </c>
      <c r="K190" s="16" t="str">
        <f>IF(F190&lt;&gt;"",IF(F190&gt;Lists!$L$10,"Late","On Time"),"")</f>
        <v>On Time</v>
      </c>
      <c r="L190" s="16" t="str">
        <f>IF(G190&lt;&gt;"",IF(G190&lt;Lists!$L$11,"Early","On Time"),"")</f>
        <v>On Time</v>
      </c>
      <c r="M190" s="9" t="str">
        <f t="shared" si="5"/>
        <v>P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</row>
    <row r="191" spans="1:45" x14ac:dyDescent="0.3">
      <c r="A191" s="18">
        <v>46256</v>
      </c>
      <c r="B191" s="9" t="s">
        <v>484</v>
      </c>
      <c r="C191" s="9" t="str">
        <f>IFERROR(INDEX('Employee Master'!$B$10:$B$109,MATCH(B191,'Employee Master'!$A$10:$A$109,0)),"")</f>
        <v/>
      </c>
      <c r="D191" s="9" t="str">
        <f>IFERROR(INDEX('Employee Master'!$H$10:$H$109,MATCH(B191,'Employee Master'!$A$10:$A$109,0)),"")</f>
        <v/>
      </c>
      <c r="E191" s="16" t="s">
        <v>42</v>
      </c>
      <c r="F191" s="19">
        <v>0.38750000000000001</v>
      </c>
      <c r="G191" s="19">
        <v>0.77430555555555602</v>
      </c>
      <c r="H191" s="16">
        <v>2</v>
      </c>
      <c r="I191" s="9"/>
      <c r="J191" s="16">
        <f t="shared" si="4"/>
        <v>9.2799999999999994</v>
      </c>
      <c r="K191" s="16" t="str">
        <f>IF(F191&lt;&gt;"",IF(F191&gt;Lists!$L$10,"Late","On Time"),"")</f>
        <v>On Time</v>
      </c>
      <c r="L191" s="16" t="str">
        <f>IF(G191&lt;&gt;"",IF(G191&lt;Lists!$L$11,"Early","On Time"),"")</f>
        <v>On Time</v>
      </c>
      <c r="M191" s="9" t="str">
        <f t="shared" si="5"/>
        <v>P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</row>
    <row r="192" spans="1:45" x14ac:dyDescent="0.3">
      <c r="A192" s="18">
        <v>46256</v>
      </c>
      <c r="B192" s="9" t="s">
        <v>485</v>
      </c>
      <c r="C192" s="9" t="str">
        <f>IFERROR(INDEX('Employee Master'!$B$10:$B$109,MATCH(B192,'Employee Master'!$A$10:$A$109,0)),"")</f>
        <v/>
      </c>
      <c r="D192" s="9" t="str">
        <f>IFERROR(INDEX('Employee Master'!$H$10:$H$109,MATCH(B192,'Employee Master'!$A$10:$A$109,0)),"")</f>
        <v/>
      </c>
      <c r="E192" s="16" t="s">
        <v>42</v>
      </c>
      <c r="F192" s="19">
        <v>0.43402777777777801</v>
      </c>
      <c r="G192" s="19">
        <v>0.42013888888888901</v>
      </c>
      <c r="H192" s="16">
        <v>0</v>
      </c>
      <c r="I192" s="9"/>
      <c r="J192" s="16">
        <f t="shared" si="4"/>
        <v>-0.33</v>
      </c>
      <c r="K192" s="16" t="str">
        <f>IF(F192&lt;&gt;"",IF(F192&gt;Lists!$L$10,"Late","On Time"),"")</f>
        <v>Late</v>
      </c>
      <c r="L192" s="16" t="str">
        <f>IF(G192&lt;&gt;"",IF(G192&lt;Lists!$L$11,"Early","On Time"),"")</f>
        <v>Early</v>
      </c>
      <c r="M192" s="9" t="str">
        <f t="shared" si="5"/>
        <v>P +Late +Early Exit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</row>
    <row r="193" spans="1:45" x14ac:dyDescent="0.3">
      <c r="A193" s="18">
        <v>46256</v>
      </c>
      <c r="B193" s="9" t="s">
        <v>486</v>
      </c>
      <c r="C193" s="9" t="str">
        <f>IFERROR(INDEX('Employee Master'!$B$10:$B$109,MATCH(B193,'Employee Master'!$A$10:$A$109,0)),"")</f>
        <v/>
      </c>
      <c r="D193" s="9" t="str">
        <f>IFERROR(INDEX('Employee Master'!$H$10:$H$109,MATCH(B193,'Employee Master'!$A$10:$A$109,0)),"")</f>
        <v/>
      </c>
      <c r="E193" s="16" t="s">
        <v>42</v>
      </c>
      <c r="F193" s="19">
        <v>0.39236111111111099</v>
      </c>
      <c r="G193" s="19">
        <v>0.75694444444444398</v>
      </c>
      <c r="H193" s="16">
        <v>3</v>
      </c>
      <c r="I193" s="9"/>
      <c r="J193" s="16">
        <f t="shared" si="4"/>
        <v>8.75</v>
      </c>
      <c r="K193" s="16" t="str">
        <f>IF(F193&lt;&gt;"",IF(F193&gt;Lists!$L$10,"Late","On Time"),"")</f>
        <v>On Time</v>
      </c>
      <c r="L193" s="16" t="str">
        <f>IF(G193&lt;&gt;"",IF(G193&lt;Lists!$L$11,"Early","On Time"),"")</f>
        <v>On Time</v>
      </c>
      <c r="M193" s="9" t="str">
        <f t="shared" si="5"/>
        <v>P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</row>
    <row r="194" spans="1:45" x14ac:dyDescent="0.3">
      <c r="A194" s="18">
        <v>46256</v>
      </c>
      <c r="B194" s="9" t="s">
        <v>487</v>
      </c>
      <c r="C194" s="9" t="str">
        <f>IFERROR(INDEX('Employee Master'!$B$10:$B$109,MATCH(B194,'Employee Master'!$A$10:$A$109,0)),"")</f>
        <v/>
      </c>
      <c r="D194" s="9" t="str">
        <f>IFERROR(INDEX('Employee Master'!$H$10:$H$109,MATCH(B194,'Employee Master'!$A$10:$A$109,0)),"")</f>
        <v/>
      </c>
      <c r="E194" s="16" t="s">
        <v>42</v>
      </c>
      <c r="F194" s="19">
        <v>0.39236111111111099</v>
      </c>
      <c r="G194" s="19">
        <v>0.75694444444444398</v>
      </c>
      <c r="H194" s="16">
        <v>0</v>
      </c>
      <c r="I194" s="9"/>
      <c r="J194" s="16">
        <f t="shared" si="4"/>
        <v>8.75</v>
      </c>
      <c r="K194" s="16" t="str">
        <f>IF(F194&lt;&gt;"",IF(F194&gt;Lists!$L$10,"Late","On Time"),"")</f>
        <v>On Time</v>
      </c>
      <c r="L194" s="16" t="str">
        <f>IF(G194&lt;&gt;"",IF(G194&lt;Lists!$L$11,"Early","On Time"),"")</f>
        <v>On Time</v>
      </c>
      <c r="M194" s="9" t="str">
        <f t="shared" si="5"/>
        <v>P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</row>
    <row r="195" spans="1:45" x14ac:dyDescent="0.3">
      <c r="A195" s="18">
        <v>46256</v>
      </c>
      <c r="B195" s="9" t="s">
        <v>488</v>
      </c>
      <c r="C195" s="9" t="str">
        <f>IFERROR(INDEX('Employee Master'!$B$10:$B$109,MATCH(B195,'Employee Master'!$A$10:$A$109,0)),"")</f>
        <v/>
      </c>
      <c r="D195" s="9" t="str">
        <f>IFERROR(INDEX('Employee Master'!$H$10:$H$109,MATCH(B195,'Employee Master'!$A$10:$A$109,0)),"")</f>
        <v/>
      </c>
      <c r="E195" s="16" t="s">
        <v>42</v>
      </c>
      <c r="F195" s="19">
        <v>0.38194444444444398</v>
      </c>
      <c r="G195" s="19">
        <v>0.76388888888888895</v>
      </c>
      <c r="H195" s="16">
        <v>0</v>
      </c>
      <c r="I195" s="9"/>
      <c r="J195" s="16">
        <f t="shared" si="4"/>
        <v>9.17</v>
      </c>
      <c r="K195" s="16" t="str">
        <f>IF(F195&lt;&gt;"",IF(F195&gt;Lists!$L$10,"Late","On Time"),"")</f>
        <v>On Time</v>
      </c>
      <c r="L195" s="16" t="str">
        <f>IF(G195&lt;&gt;"",IF(G195&lt;Lists!$L$11,"Early","On Time"),"")</f>
        <v>On Time</v>
      </c>
      <c r="M195" s="9" t="str">
        <f t="shared" si="5"/>
        <v>P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</row>
    <row r="196" spans="1:45" x14ac:dyDescent="0.3">
      <c r="A196" s="18">
        <v>46256</v>
      </c>
      <c r="B196" s="9" t="s">
        <v>489</v>
      </c>
      <c r="C196" s="9" t="str">
        <f>IFERROR(INDEX('Employee Master'!$B$10:$B$109,MATCH(B196,'Employee Master'!$A$10:$A$109,0)),"")</f>
        <v/>
      </c>
      <c r="D196" s="9" t="str">
        <f>IFERROR(INDEX('Employee Master'!$H$10:$H$109,MATCH(B196,'Employee Master'!$A$10:$A$109,0)),"")</f>
        <v/>
      </c>
      <c r="E196" s="16" t="s">
        <v>42</v>
      </c>
      <c r="F196" s="19">
        <v>0.390277777777778</v>
      </c>
      <c r="G196" s="19">
        <v>0.76388888888888895</v>
      </c>
      <c r="H196" s="16">
        <v>1</v>
      </c>
      <c r="I196" s="9"/>
      <c r="J196" s="16">
        <f t="shared" si="4"/>
        <v>8.9700000000000006</v>
      </c>
      <c r="K196" s="16" t="str">
        <f>IF(F196&lt;&gt;"",IF(F196&gt;Lists!$L$10,"Late","On Time"),"")</f>
        <v>On Time</v>
      </c>
      <c r="L196" s="16" t="str">
        <f>IF(G196&lt;&gt;"",IF(G196&lt;Lists!$L$11,"Early","On Time"),"")</f>
        <v>On Time</v>
      </c>
      <c r="M196" s="9" t="str">
        <f t="shared" si="5"/>
        <v>P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</row>
    <row r="197" spans="1:45" x14ac:dyDescent="0.3">
      <c r="A197" s="18">
        <v>46256</v>
      </c>
      <c r="B197" s="9" t="s">
        <v>490</v>
      </c>
      <c r="C197" s="9" t="str">
        <f>IFERROR(INDEX('Employee Master'!$B$10:$B$109,MATCH(B197,'Employee Master'!$A$10:$A$109,0)),"")</f>
        <v/>
      </c>
      <c r="D197" s="9" t="str">
        <f>IFERROR(INDEX('Employee Master'!$H$10:$H$109,MATCH(B197,'Employee Master'!$A$10:$A$109,0)),"")</f>
        <v/>
      </c>
      <c r="E197" s="16" t="s">
        <v>42</v>
      </c>
      <c r="F197" s="19">
        <v>0.38750000000000001</v>
      </c>
      <c r="G197" s="19">
        <v>0.76388888888888895</v>
      </c>
      <c r="H197" s="16">
        <v>0</v>
      </c>
      <c r="I197" s="9"/>
      <c r="J197" s="16">
        <f t="shared" si="4"/>
        <v>9.0299999999999994</v>
      </c>
      <c r="K197" s="16" t="str">
        <f>IF(F197&lt;&gt;"",IF(F197&gt;Lists!$L$10,"Late","On Time"),"")</f>
        <v>On Time</v>
      </c>
      <c r="L197" s="16" t="str">
        <f>IF(G197&lt;&gt;"",IF(G197&lt;Lists!$L$11,"Early","On Time"),"")</f>
        <v>On Time</v>
      </c>
      <c r="M197" s="9" t="str">
        <f t="shared" si="5"/>
        <v>P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</row>
    <row r="198" spans="1:45" x14ac:dyDescent="0.3">
      <c r="A198" s="18">
        <v>46256</v>
      </c>
      <c r="B198" s="9" t="s">
        <v>491</v>
      </c>
      <c r="C198" s="9" t="str">
        <f>IFERROR(INDEX('Employee Master'!$B$10:$B$109,MATCH(B198,'Employee Master'!$A$10:$A$109,0)),"")</f>
        <v/>
      </c>
      <c r="D198" s="9" t="str">
        <f>IFERROR(INDEX('Employee Master'!$H$10:$H$109,MATCH(B198,'Employee Master'!$A$10:$A$109,0)),"")</f>
        <v/>
      </c>
      <c r="E198" s="16" t="s">
        <v>42</v>
      </c>
      <c r="F198" s="19">
        <v>0.38750000000000001</v>
      </c>
      <c r="G198" s="19">
        <v>0.75347222222222199</v>
      </c>
      <c r="H198" s="16">
        <v>0</v>
      </c>
      <c r="I198" s="9"/>
      <c r="J198" s="16">
        <f t="shared" si="4"/>
        <v>8.7799999999999994</v>
      </c>
      <c r="K198" s="16" t="str">
        <f>IF(F198&lt;&gt;"",IF(F198&gt;Lists!$L$10,"Late","On Time"),"")</f>
        <v>On Time</v>
      </c>
      <c r="L198" s="16" t="str">
        <f>IF(G198&lt;&gt;"",IF(G198&lt;Lists!$L$11,"Early","On Time"),"")</f>
        <v>On Time</v>
      </c>
      <c r="M198" s="9" t="str">
        <f t="shared" si="5"/>
        <v>P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</row>
    <row r="199" spans="1:45" x14ac:dyDescent="0.3">
      <c r="A199" s="18">
        <v>46256</v>
      </c>
      <c r="B199" s="9" t="s">
        <v>492</v>
      </c>
      <c r="C199" s="9" t="str">
        <f>IFERROR(INDEX('Employee Master'!$B$10:$B$109,MATCH(B199,'Employee Master'!$A$10:$A$109,0)),"")</f>
        <v/>
      </c>
      <c r="D199" s="9" t="str">
        <f>IFERROR(INDEX('Employee Master'!$H$10:$H$109,MATCH(B199,'Employee Master'!$A$10:$A$109,0)),"")</f>
        <v/>
      </c>
      <c r="E199" s="16" t="s">
        <v>42</v>
      </c>
      <c r="F199" s="19">
        <v>0.37847222222222199</v>
      </c>
      <c r="G199" s="19">
        <v>0.75347222222222199</v>
      </c>
      <c r="H199" s="16">
        <v>0</v>
      </c>
      <c r="I199" s="9"/>
      <c r="J199" s="16">
        <f t="shared" si="4"/>
        <v>9</v>
      </c>
      <c r="K199" s="16" t="str">
        <f>IF(F199&lt;&gt;"",IF(F199&gt;Lists!$L$10,"Late","On Time"),"")</f>
        <v>On Time</v>
      </c>
      <c r="L199" s="16" t="str">
        <f>IF(G199&lt;&gt;"",IF(G199&lt;Lists!$L$11,"Early","On Time"),"")</f>
        <v>On Time</v>
      </c>
      <c r="M199" s="9" t="str">
        <f t="shared" si="5"/>
        <v>P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</row>
    <row r="200" spans="1:45" x14ac:dyDescent="0.3">
      <c r="A200" s="18">
        <v>46256</v>
      </c>
      <c r="B200" s="9" t="s">
        <v>493</v>
      </c>
      <c r="C200" s="9" t="str">
        <f>IFERROR(INDEX('Employee Master'!$B$10:$B$109,MATCH(B200,'Employee Master'!$A$10:$A$109,0)),"")</f>
        <v/>
      </c>
      <c r="D200" s="9" t="str">
        <f>IFERROR(INDEX('Employee Master'!$H$10:$H$109,MATCH(B200,'Employee Master'!$A$10:$A$109,0)),"")</f>
        <v/>
      </c>
      <c r="E200" s="16" t="s">
        <v>42</v>
      </c>
      <c r="F200" s="19">
        <v>0.38750000000000001</v>
      </c>
      <c r="G200" s="19">
        <v>0.77430555555555602</v>
      </c>
      <c r="H200" s="16">
        <v>0</v>
      </c>
      <c r="I200" s="9"/>
      <c r="J200" s="16">
        <f t="shared" si="4"/>
        <v>9.2799999999999994</v>
      </c>
      <c r="K200" s="16" t="str">
        <f>IF(F200&lt;&gt;"",IF(F200&gt;Lists!$L$10,"Late","On Time"),"")</f>
        <v>On Time</v>
      </c>
      <c r="L200" s="16" t="str">
        <f>IF(G200&lt;&gt;"",IF(G200&lt;Lists!$L$11,"Early","On Time"),"")</f>
        <v>On Time</v>
      </c>
      <c r="M200" s="9" t="str">
        <f t="shared" si="5"/>
        <v>P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</row>
    <row r="201" spans="1:45" x14ac:dyDescent="0.3">
      <c r="A201" s="18">
        <v>46256</v>
      </c>
      <c r="B201" s="9" t="s">
        <v>494</v>
      </c>
      <c r="C201" s="9" t="str">
        <f>IFERROR(INDEX('Employee Master'!$B$10:$B$109,MATCH(B201,'Employee Master'!$A$10:$A$109,0)),"")</f>
        <v/>
      </c>
      <c r="D201" s="9" t="str">
        <f>IFERROR(INDEX('Employee Master'!$H$10:$H$109,MATCH(B201,'Employee Master'!$A$10:$A$109,0)),"")</f>
        <v/>
      </c>
      <c r="E201" s="16" t="s">
        <v>44</v>
      </c>
      <c r="F201" s="19"/>
      <c r="G201" s="19"/>
      <c r="H201" s="16">
        <v>0</v>
      </c>
      <c r="I201" s="9"/>
      <c r="J201" s="16" t="str">
        <f t="shared" si="4"/>
        <v/>
      </c>
      <c r="K201" s="16" t="str">
        <f>IF(F201&lt;&gt;"",IF(F201&gt;Lists!$L$10,"Late","On Time"),"")</f>
        <v/>
      </c>
      <c r="L201" s="16" t="str">
        <f>IF(G201&lt;&gt;"",IF(G201&lt;Lists!$L$11,"Early","On Time"),"")</f>
        <v/>
      </c>
      <c r="M201" s="9" t="str">
        <f t="shared" si="5"/>
        <v>A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</row>
    <row r="202" spans="1:45" x14ac:dyDescent="0.3">
      <c r="A202" s="18">
        <v>46256</v>
      </c>
      <c r="B202" s="9" t="s">
        <v>495</v>
      </c>
      <c r="C202" s="9" t="str">
        <f>IFERROR(INDEX('Employee Master'!$B$10:$B$109,MATCH(B202,'Employee Master'!$A$10:$A$109,0)),"")</f>
        <v/>
      </c>
      <c r="D202" s="9" t="str">
        <f>IFERROR(INDEX('Employee Master'!$H$10:$H$109,MATCH(B202,'Employee Master'!$A$10:$A$109,0)),"")</f>
        <v/>
      </c>
      <c r="E202" s="16" t="s">
        <v>46</v>
      </c>
      <c r="F202" s="19"/>
      <c r="G202" s="19"/>
      <c r="H202" s="16">
        <v>0</v>
      </c>
      <c r="I202" s="9"/>
      <c r="J202" s="16" t="str">
        <f t="shared" ref="J202:J265" si="6">IF(AND(F202&lt;&gt;"",G202&lt;&gt;""),ROUND((G202-F202)*24,2),"")</f>
        <v/>
      </c>
      <c r="K202" s="16" t="str">
        <f>IF(F202&lt;&gt;"",IF(F202&gt;Lists!$L$10,"Late","On Time"),"")</f>
        <v/>
      </c>
      <c r="L202" s="16" t="str">
        <f>IF(G202&lt;&gt;"",IF(G202&lt;Lists!$L$11,"Early","On Time"),"")</f>
        <v/>
      </c>
      <c r="M202" s="9" t="str">
        <f t="shared" ref="M202:M265" si="7">IF(E202="","",E202&amp;IF(K202="Late"," +Late","")&amp;IF(L202="Early"," +Early Exit",""))</f>
        <v>WO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</row>
    <row r="203" spans="1:45" x14ac:dyDescent="0.3">
      <c r="A203" s="18">
        <v>46256</v>
      </c>
      <c r="B203" s="9" t="s">
        <v>496</v>
      </c>
      <c r="C203" s="9" t="str">
        <f>IFERROR(INDEX('Employee Master'!$B$10:$B$109,MATCH(B203,'Employee Master'!$A$10:$A$109,0)),"")</f>
        <v/>
      </c>
      <c r="D203" s="9" t="str">
        <f>IFERROR(INDEX('Employee Master'!$H$10:$H$109,MATCH(B203,'Employee Master'!$A$10:$A$109,0)),"")</f>
        <v/>
      </c>
      <c r="E203" s="16" t="s">
        <v>42</v>
      </c>
      <c r="F203" s="19">
        <v>0.390277777777778</v>
      </c>
      <c r="G203" s="19">
        <v>0.75</v>
      </c>
      <c r="H203" s="16">
        <v>3</v>
      </c>
      <c r="I203" s="9"/>
      <c r="J203" s="16">
        <f t="shared" si="6"/>
        <v>8.6300000000000008</v>
      </c>
      <c r="K203" s="16" t="str">
        <f>IF(F203&lt;&gt;"",IF(F203&gt;Lists!$L$10,"Late","On Time"),"")</f>
        <v>On Time</v>
      </c>
      <c r="L203" s="16" t="str">
        <f>IF(G203&lt;&gt;"",IF(G203&lt;Lists!$L$11,"Early","On Time"),"")</f>
        <v>On Time</v>
      </c>
      <c r="M203" s="9" t="str">
        <f t="shared" si="7"/>
        <v>P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</row>
    <row r="204" spans="1:45" x14ac:dyDescent="0.3">
      <c r="A204" s="18">
        <v>46256</v>
      </c>
      <c r="B204" s="9" t="s">
        <v>497</v>
      </c>
      <c r="C204" s="9" t="str">
        <f>IFERROR(INDEX('Employee Master'!$B$10:$B$109,MATCH(B204,'Employee Master'!$A$10:$A$109,0)),"")</f>
        <v/>
      </c>
      <c r="D204" s="9" t="str">
        <f>IFERROR(INDEX('Employee Master'!$H$10:$H$109,MATCH(B204,'Employee Master'!$A$10:$A$109,0)),"")</f>
        <v/>
      </c>
      <c r="E204" s="16" t="s">
        <v>42</v>
      </c>
      <c r="F204" s="19">
        <v>0.39236111111111099</v>
      </c>
      <c r="G204" s="19">
        <v>0.75347222222222199</v>
      </c>
      <c r="H204" s="16">
        <v>1</v>
      </c>
      <c r="I204" s="9"/>
      <c r="J204" s="16">
        <f t="shared" si="6"/>
        <v>8.67</v>
      </c>
      <c r="K204" s="16" t="str">
        <f>IF(F204&lt;&gt;"",IF(F204&gt;Lists!$L$10,"Late","On Time"),"")</f>
        <v>On Time</v>
      </c>
      <c r="L204" s="16" t="str">
        <f>IF(G204&lt;&gt;"",IF(G204&lt;Lists!$L$11,"Early","On Time"),"")</f>
        <v>On Time</v>
      </c>
      <c r="M204" s="9" t="str">
        <f t="shared" si="7"/>
        <v>P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</row>
    <row r="205" spans="1:45" x14ac:dyDescent="0.3">
      <c r="A205" s="18">
        <v>46256</v>
      </c>
      <c r="B205" s="9" t="s">
        <v>498</v>
      </c>
      <c r="C205" s="9" t="str">
        <f>IFERROR(INDEX('Employee Master'!$B$10:$B$109,MATCH(B205,'Employee Master'!$A$10:$A$109,0)),"")</f>
        <v/>
      </c>
      <c r="D205" s="9" t="str">
        <f>IFERROR(INDEX('Employee Master'!$H$10:$H$109,MATCH(B205,'Employee Master'!$A$10:$A$109,0)),"")</f>
        <v/>
      </c>
      <c r="E205" s="16" t="s">
        <v>42</v>
      </c>
      <c r="F205" s="19">
        <v>0.39236111111111099</v>
      </c>
      <c r="G205" s="19">
        <v>0.75</v>
      </c>
      <c r="H205" s="16">
        <v>0</v>
      </c>
      <c r="I205" s="9"/>
      <c r="J205" s="16">
        <f t="shared" si="6"/>
        <v>8.58</v>
      </c>
      <c r="K205" s="16" t="str">
        <f>IF(F205&lt;&gt;"",IF(F205&gt;Lists!$L$10,"Late","On Time"),"")</f>
        <v>On Time</v>
      </c>
      <c r="L205" s="16" t="str">
        <f>IF(G205&lt;&gt;"",IF(G205&lt;Lists!$L$11,"Early","On Time"),"")</f>
        <v>On Time</v>
      </c>
      <c r="M205" s="9" t="str">
        <f t="shared" si="7"/>
        <v>P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</row>
    <row r="206" spans="1:45" x14ac:dyDescent="0.3">
      <c r="A206" s="18">
        <v>46256</v>
      </c>
      <c r="B206" s="9" t="s">
        <v>499</v>
      </c>
      <c r="C206" s="9" t="str">
        <f>IFERROR(INDEX('Employee Master'!$B$10:$B$109,MATCH(B206,'Employee Master'!$A$10:$A$109,0)),"")</f>
        <v/>
      </c>
      <c r="D206" s="9" t="str">
        <f>IFERROR(INDEX('Employee Master'!$H$10:$H$109,MATCH(B206,'Employee Master'!$A$10:$A$109,0)),"")</f>
        <v/>
      </c>
      <c r="E206" s="16" t="s">
        <v>42</v>
      </c>
      <c r="F206" s="19">
        <v>0.38750000000000001</v>
      </c>
      <c r="G206" s="19">
        <v>0.75694444444444398</v>
      </c>
      <c r="H206" s="16">
        <v>0</v>
      </c>
      <c r="I206" s="9"/>
      <c r="J206" s="16">
        <f t="shared" si="6"/>
        <v>8.8699999999999992</v>
      </c>
      <c r="K206" s="16" t="str">
        <f>IF(F206&lt;&gt;"",IF(F206&gt;Lists!$L$10,"Late","On Time"),"")</f>
        <v>On Time</v>
      </c>
      <c r="L206" s="16" t="str">
        <f>IF(G206&lt;&gt;"",IF(G206&lt;Lists!$L$11,"Early","On Time"),"")</f>
        <v>On Time</v>
      </c>
      <c r="M206" s="9" t="str">
        <f t="shared" si="7"/>
        <v>P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</row>
    <row r="207" spans="1:45" x14ac:dyDescent="0.3">
      <c r="A207" s="18">
        <v>46256</v>
      </c>
      <c r="B207" s="9" t="s">
        <v>500</v>
      </c>
      <c r="C207" s="9" t="str">
        <f>IFERROR(INDEX('Employee Master'!$B$10:$B$109,MATCH(B207,'Employee Master'!$A$10:$A$109,0)),"")</f>
        <v/>
      </c>
      <c r="D207" s="9" t="str">
        <f>IFERROR(INDEX('Employee Master'!$H$10:$H$109,MATCH(B207,'Employee Master'!$A$10:$A$109,0)),"")</f>
        <v/>
      </c>
      <c r="E207" s="16" t="s">
        <v>42</v>
      </c>
      <c r="F207" s="19">
        <v>0.38194444444444398</v>
      </c>
      <c r="G207" s="19">
        <v>0.75347222222222199</v>
      </c>
      <c r="H207" s="16">
        <v>2</v>
      </c>
      <c r="I207" s="9"/>
      <c r="J207" s="16">
        <f t="shared" si="6"/>
        <v>8.92</v>
      </c>
      <c r="K207" s="16" t="str">
        <f>IF(F207&lt;&gt;"",IF(F207&gt;Lists!$L$10,"Late","On Time"),"")</f>
        <v>On Time</v>
      </c>
      <c r="L207" s="16" t="str">
        <f>IF(G207&lt;&gt;"",IF(G207&lt;Lists!$L$11,"Early","On Time"),"")</f>
        <v>On Time</v>
      </c>
      <c r="M207" s="9" t="str">
        <f t="shared" si="7"/>
        <v>P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</row>
    <row r="208" spans="1:45" x14ac:dyDescent="0.3">
      <c r="A208" s="18">
        <v>46256</v>
      </c>
      <c r="B208" s="9" t="s">
        <v>501</v>
      </c>
      <c r="C208" s="9" t="str">
        <f>IFERROR(INDEX('Employee Master'!$B$10:$B$109,MATCH(B208,'Employee Master'!$A$10:$A$109,0)),"")</f>
        <v/>
      </c>
      <c r="D208" s="9" t="str">
        <f>IFERROR(INDEX('Employee Master'!$H$10:$H$109,MATCH(B208,'Employee Master'!$A$10:$A$109,0)),"")</f>
        <v/>
      </c>
      <c r="E208" s="16" t="s">
        <v>42</v>
      </c>
      <c r="F208" s="19">
        <v>0.38541666666666702</v>
      </c>
      <c r="G208" s="19">
        <v>0.75347222222222199</v>
      </c>
      <c r="H208" s="16">
        <v>0</v>
      </c>
      <c r="I208" s="9"/>
      <c r="J208" s="16">
        <f t="shared" si="6"/>
        <v>8.83</v>
      </c>
      <c r="K208" s="16" t="str">
        <f>IF(F208&lt;&gt;"",IF(F208&gt;Lists!$L$10,"Late","On Time"),"")</f>
        <v>On Time</v>
      </c>
      <c r="L208" s="16" t="str">
        <f>IF(G208&lt;&gt;"",IF(G208&lt;Lists!$L$11,"Early","On Time"),"")</f>
        <v>On Time</v>
      </c>
      <c r="M208" s="9" t="str">
        <f t="shared" si="7"/>
        <v>P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</row>
    <row r="209" spans="1:45" x14ac:dyDescent="0.3">
      <c r="A209" s="18">
        <v>46256</v>
      </c>
      <c r="B209" s="9" t="s">
        <v>502</v>
      </c>
      <c r="C209" s="9" t="str">
        <f>IFERROR(INDEX('Employee Master'!$B$10:$B$109,MATCH(B209,'Employee Master'!$A$10:$A$109,0)),"")</f>
        <v/>
      </c>
      <c r="D209" s="9" t="str">
        <f>IFERROR(INDEX('Employee Master'!$H$10:$H$109,MATCH(B209,'Employee Master'!$A$10:$A$109,0)),"")</f>
        <v/>
      </c>
      <c r="E209" s="16" t="s">
        <v>42</v>
      </c>
      <c r="F209" s="19">
        <v>0.38750000000000001</v>
      </c>
      <c r="G209" s="19">
        <v>0.75347222222222199</v>
      </c>
      <c r="H209" s="16">
        <v>0</v>
      </c>
      <c r="I209" s="9"/>
      <c r="J209" s="16">
        <f t="shared" si="6"/>
        <v>8.7799999999999994</v>
      </c>
      <c r="K209" s="16" t="str">
        <f>IF(F209&lt;&gt;"",IF(F209&gt;Lists!$L$10,"Late","On Time"),"")</f>
        <v>On Time</v>
      </c>
      <c r="L209" s="16" t="str">
        <f>IF(G209&lt;&gt;"",IF(G209&lt;Lists!$L$11,"Early","On Time"),"")</f>
        <v>On Time</v>
      </c>
      <c r="M209" s="9" t="str">
        <f t="shared" si="7"/>
        <v>P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</row>
    <row r="210" spans="1:45" x14ac:dyDescent="0.3">
      <c r="A210" s="18">
        <v>46256</v>
      </c>
      <c r="B210" s="9" t="s">
        <v>503</v>
      </c>
      <c r="C210" s="9" t="str">
        <f>IFERROR(INDEX('Employee Master'!$B$10:$B$109,MATCH(B210,'Employee Master'!$A$10:$A$109,0)),"")</f>
        <v/>
      </c>
      <c r="D210" s="9" t="str">
        <f>IFERROR(INDEX('Employee Master'!$H$10:$H$109,MATCH(B210,'Employee Master'!$A$10:$A$109,0)),"")</f>
        <v/>
      </c>
      <c r="E210" s="16" t="s">
        <v>42</v>
      </c>
      <c r="F210" s="19">
        <v>0.38750000000000001</v>
      </c>
      <c r="G210" s="19">
        <v>0.75347222222222199</v>
      </c>
      <c r="H210" s="16">
        <v>0</v>
      </c>
      <c r="I210" s="9"/>
      <c r="J210" s="16">
        <f t="shared" si="6"/>
        <v>8.7799999999999994</v>
      </c>
      <c r="K210" s="16" t="str">
        <f>IF(F210&lt;&gt;"",IF(F210&gt;Lists!$L$10,"Late","On Time"),"")</f>
        <v>On Time</v>
      </c>
      <c r="L210" s="16" t="str">
        <f>IF(G210&lt;&gt;"",IF(G210&lt;Lists!$L$11,"Early","On Time"),"")</f>
        <v>On Time</v>
      </c>
      <c r="M210" s="9" t="str">
        <f t="shared" si="7"/>
        <v>P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</row>
    <row r="211" spans="1:45" x14ac:dyDescent="0.3">
      <c r="A211" s="18">
        <v>46256</v>
      </c>
      <c r="B211" s="9" t="s">
        <v>504</v>
      </c>
      <c r="C211" s="9" t="str">
        <f>IFERROR(INDEX('Employee Master'!$B$10:$B$109,MATCH(B211,'Employee Master'!$A$10:$A$109,0)),"")</f>
        <v/>
      </c>
      <c r="D211" s="9" t="str">
        <f>IFERROR(INDEX('Employee Master'!$H$10:$H$109,MATCH(B211,'Employee Master'!$A$10:$A$109,0)),"")</f>
        <v/>
      </c>
      <c r="E211" s="16" t="s">
        <v>42</v>
      </c>
      <c r="F211" s="19">
        <v>0.38194444444444398</v>
      </c>
      <c r="G211" s="19">
        <v>0.75694444444444398</v>
      </c>
      <c r="H211" s="16">
        <v>0</v>
      </c>
      <c r="I211" s="9"/>
      <c r="J211" s="16">
        <f t="shared" si="6"/>
        <v>9</v>
      </c>
      <c r="K211" s="16" t="str">
        <f>IF(F211&lt;&gt;"",IF(F211&gt;Lists!$L$10,"Late","On Time"),"")</f>
        <v>On Time</v>
      </c>
      <c r="L211" s="16" t="str">
        <f>IF(G211&lt;&gt;"",IF(G211&lt;Lists!$L$11,"Early","On Time"),"")</f>
        <v>On Time</v>
      </c>
      <c r="M211" s="9" t="str">
        <f t="shared" si="7"/>
        <v>P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</row>
    <row r="212" spans="1:45" x14ac:dyDescent="0.3">
      <c r="A212" s="18">
        <v>46256</v>
      </c>
      <c r="B212" s="9" t="s">
        <v>505</v>
      </c>
      <c r="C212" s="9" t="str">
        <f>IFERROR(INDEX('Employee Master'!$B$10:$B$109,MATCH(B212,'Employee Master'!$A$10:$A$109,0)),"")</f>
        <v/>
      </c>
      <c r="D212" s="9" t="str">
        <f>IFERROR(INDEX('Employee Master'!$H$10:$H$109,MATCH(B212,'Employee Master'!$A$10:$A$109,0)),"")</f>
        <v/>
      </c>
      <c r="E212" s="16" t="s">
        <v>42</v>
      </c>
      <c r="F212" s="19">
        <v>0.38750000000000001</v>
      </c>
      <c r="G212" s="19">
        <v>0.75347222222222199</v>
      </c>
      <c r="H212" s="16">
        <v>0</v>
      </c>
      <c r="I212" s="9"/>
      <c r="J212" s="16">
        <f t="shared" si="6"/>
        <v>8.7799999999999994</v>
      </c>
      <c r="K212" s="16" t="str">
        <f>IF(F212&lt;&gt;"",IF(F212&gt;Lists!$L$10,"Late","On Time"),"")</f>
        <v>On Time</v>
      </c>
      <c r="L212" s="16" t="str">
        <f>IF(G212&lt;&gt;"",IF(G212&lt;Lists!$L$11,"Early","On Time"),"")</f>
        <v>On Time</v>
      </c>
      <c r="M212" s="9" t="str">
        <f t="shared" si="7"/>
        <v>P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</row>
    <row r="213" spans="1:45" x14ac:dyDescent="0.3">
      <c r="A213" s="18">
        <v>46256</v>
      </c>
      <c r="B213" s="9" t="s">
        <v>506</v>
      </c>
      <c r="C213" s="9" t="str">
        <f>IFERROR(INDEX('Employee Master'!$B$10:$B$109,MATCH(B213,'Employee Master'!$A$10:$A$109,0)),"")</f>
        <v/>
      </c>
      <c r="D213" s="9" t="str">
        <f>IFERROR(INDEX('Employee Master'!$H$10:$H$109,MATCH(B213,'Employee Master'!$A$10:$A$109,0)),"")</f>
        <v/>
      </c>
      <c r="E213" s="16" t="s">
        <v>42</v>
      </c>
      <c r="F213" s="19">
        <v>0.38541666666666702</v>
      </c>
      <c r="G213" s="19">
        <v>0.76388888888888895</v>
      </c>
      <c r="H213" s="16">
        <v>2</v>
      </c>
      <c r="I213" s="9"/>
      <c r="J213" s="16">
        <f t="shared" si="6"/>
        <v>9.08</v>
      </c>
      <c r="K213" s="16" t="str">
        <f>IF(F213&lt;&gt;"",IF(F213&gt;Lists!$L$10,"Late","On Time"),"")</f>
        <v>On Time</v>
      </c>
      <c r="L213" s="16" t="str">
        <f>IF(G213&lt;&gt;"",IF(G213&lt;Lists!$L$11,"Early","On Time"),"")</f>
        <v>On Time</v>
      </c>
      <c r="M213" s="9" t="str">
        <f t="shared" si="7"/>
        <v>P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</row>
    <row r="214" spans="1:45" x14ac:dyDescent="0.3">
      <c r="A214" s="18">
        <v>46258</v>
      </c>
      <c r="B214" s="9" t="s">
        <v>507</v>
      </c>
      <c r="C214" s="9" t="str">
        <f>IFERROR(INDEX('Employee Master'!$B$10:$B$109,MATCH(B214,'Employee Master'!$A$10:$A$109,0)),"")</f>
        <v/>
      </c>
      <c r="D214" s="9" t="str">
        <f>IFERROR(INDEX('Employee Master'!$H$10:$H$109,MATCH(B214,'Employee Master'!$A$10:$A$109,0)),"")</f>
        <v/>
      </c>
      <c r="E214" s="16" t="s">
        <v>42</v>
      </c>
      <c r="F214" s="19">
        <v>0.42708333333333298</v>
      </c>
      <c r="G214" s="19">
        <v>0.42013888888888901</v>
      </c>
      <c r="H214" s="16">
        <v>0</v>
      </c>
      <c r="I214" s="9"/>
      <c r="J214" s="16">
        <f t="shared" si="6"/>
        <v>-0.17</v>
      </c>
      <c r="K214" s="16" t="str">
        <f>IF(F214&lt;&gt;"",IF(F214&gt;Lists!$L$10,"Late","On Time"),"")</f>
        <v>Late</v>
      </c>
      <c r="L214" s="16" t="str">
        <f>IF(G214&lt;&gt;"",IF(G214&lt;Lists!$L$11,"Early","On Time"),"")</f>
        <v>Early</v>
      </c>
      <c r="M214" s="9" t="str">
        <f t="shared" si="7"/>
        <v>P +Late +Early Exit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</row>
    <row r="215" spans="1:45" x14ac:dyDescent="0.3">
      <c r="A215" s="18">
        <v>46258</v>
      </c>
      <c r="B215" s="9" t="s">
        <v>508</v>
      </c>
      <c r="C215" s="9" t="str">
        <f>IFERROR(INDEX('Employee Master'!$B$10:$B$109,MATCH(B215,'Employee Master'!$A$10:$A$109,0)),"")</f>
        <v/>
      </c>
      <c r="D215" s="9" t="str">
        <f>IFERROR(INDEX('Employee Master'!$H$10:$H$109,MATCH(B215,'Employee Master'!$A$10:$A$109,0)),"")</f>
        <v/>
      </c>
      <c r="E215" s="16" t="s">
        <v>42</v>
      </c>
      <c r="F215" s="19">
        <v>0.37847222222222199</v>
      </c>
      <c r="G215" s="19">
        <v>0.75694444444444398</v>
      </c>
      <c r="H215" s="16">
        <v>0</v>
      </c>
      <c r="I215" s="9"/>
      <c r="J215" s="16">
        <f t="shared" si="6"/>
        <v>9.08</v>
      </c>
      <c r="K215" s="16" t="str">
        <f>IF(F215&lt;&gt;"",IF(F215&gt;Lists!$L$10,"Late","On Time"),"")</f>
        <v>On Time</v>
      </c>
      <c r="L215" s="16" t="str">
        <f>IF(G215&lt;&gt;"",IF(G215&lt;Lists!$L$11,"Early","On Time"),"")</f>
        <v>On Time</v>
      </c>
      <c r="M215" s="9" t="str">
        <f t="shared" si="7"/>
        <v>P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</row>
    <row r="216" spans="1:45" x14ac:dyDescent="0.3">
      <c r="A216" s="18">
        <v>46258</v>
      </c>
      <c r="B216" s="9" t="s">
        <v>509</v>
      </c>
      <c r="C216" s="9" t="str">
        <f>IFERROR(INDEX('Employee Master'!$B$10:$B$109,MATCH(B216,'Employee Master'!$A$10:$A$109,0)),"")</f>
        <v/>
      </c>
      <c r="D216" s="9" t="str">
        <f>IFERROR(INDEX('Employee Master'!$H$10:$H$109,MATCH(B216,'Employee Master'!$A$10:$A$109,0)),"")</f>
        <v/>
      </c>
      <c r="E216" s="16" t="s">
        <v>42</v>
      </c>
      <c r="F216" s="19">
        <v>0.38750000000000001</v>
      </c>
      <c r="G216" s="19">
        <v>0.75694444444444398</v>
      </c>
      <c r="H216" s="16">
        <v>0</v>
      </c>
      <c r="I216" s="9"/>
      <c r="J216" s="16">
        <f t="shared" si="6"/>
        <v>8.8699999999999992</v>
      </c>
      <c r="K216" s="16" t="str">
        <f>IF(F216&lt;&gt;"",IF(F216&gt;Lists!$L$10,"Late","On Time"),"")</f>
        <v>On Time</v>
      </c>
      <c r="L216" s="16" t="str">
        <f>IF(G216&lt;&gt;"",IF(G216&lt;Lists!$L$11,"Early","On Time"),"")</f>
        <v>On Time</v>
      </c>
      <c r="M216" s="9" t="str">
        <f t="shared" si="7"/>
        <v>P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</row>
    <row r="217" spans="1:45" x14ac:dyDescent="0.3">
      <c r="A217" s="18">
        <v>46258</v>
      </c>
      <c r="B217" s="9" t="s">
        <v>510</v>
      </c>
      <c r="C217" s="9" t="str">
        <f>IFERROR(INDEX('Employee Master'!$B$10:$B$109,MATCH(B217,'Employee Master'!$A$10:$A$109,0)),"")</f>
        <v/>
      </c>
      <c r="D217" s="9" t="str">
        <f>IFERROR(INDEX('Employee Master'!$H$10:$H$109,MATCH(B217,'Employee Master'!$A$10:$A$109,0)),"")</f>
        <v/>
      </c>
      <c r="E217" s="16" t="s">
        <v>42</v>
      </c>
      <c r="F217" s="19">
        <v>0.390277777777778</v>
      </c>
      <c r="G217" s="19">
        <v>0.75347222222222199</v>
      </c>
      <c r="H217" s="16">
        <v>0</v>
      </c>
      <c r="I217" s="9"/>
      <c r="J217" s="16">
        <f t="shared" si="6"/>
        <v>8.7200000000000006</v>
      </c>
      <c r="K217" s="16" t="str">
        <f>IF(F217&lt;&gt;"",IF(F217&gt;Lists!$L$10,"Late","On Time"),"")</f>
        <v>On Time</v>
      </c>
      <c r="L217" s="16" t="str">
        <f>IF(G217&lt;&gt;"",IF(G217&lt;Lists!$L$11,"Early","On Time"),"")</f>
        <v>On Time</v>
      </c>
      <c r="M217" s="9" t="str">
        <f t="shared" si="7"/>
        <v>P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</row>
    <row r="218" spans="1:45" x14ac:dyDescent="0.3">
      <c r="A218" s="18">
        <v>46258</v>
      </c>
      <c r="B218" s="9" t="s">
        <v>511</v>
      </c>
      <c r="C218" s="9" t="str">
        <f>IFERROR(INDEX('Employee Master'!$B$10:$B$109,MATCH(B218,'Employee Master'!$A$10:$A$109,0)),"")</f>
        <v/>
      </c>
      <c r="D218" s="9" t="str">
        <f>IFERROR(INDEX('Employee Master'!$H$10:$H$109,MATCH(B218,'Employee Master'!$A$10:$A$109,0)),"")</f>
        <v/>
      </c>
      <c r="E218" s="16" t="s">
        <v>42</v>
      </c>
      <c r="F218" s="19">
        <v>0.38750000000000001</v>
      </c>
      <c r="G218" s="19">
        <v>0.75347222222222199</v>
      </c>
      <c r="H218" s="16">
        <v>1</v>
      </c>
      <c r="I218" s="9"/>
      <c r="J218" s="16">
        <f t="shared" si="6"/>
        <v>8.7799999999999994</v>
      </c>
      <c r="K218" s="16" t="str">
        <f>IF(F218&lt;&gt;"",IF(F218&gt;Lists!$L$10,"Late","On Time"),"")</f>
        <v>On Time</v>
      </c>
      <c r="L218" s="16" t="str">
        <f>IF(G218&lt;&gt;"",IF(G218&lt;Lists!$L$11,"Early","On Time"),"")</f>
        <v>On Time</v>
      </c>
      <c r="M218" s="9" t="str">
        <f t="shared" si="7"/>
        <v>P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</row>
    <row r="219" spans="1:45" x14ac:dyDescent="0.3">
      <c r="A219" s="18">
        <v>46258</v>
      </c>
      <c r="B219" s="9" t="s">
        <v>512</v>
      </c>
      <c r="C219" s="9" t="str">
        <f>IFERROR(INDEX('Employee Master'!$B$10:$B$109,MATCH(B219,'Employee Master'!$A$10:$A$109,0)),"")</f>
        <v/>
      </c>
      <c r="D219" s="9" t="str">
        <f>IFERROR(INDEX('Employee Master'!$H$10:$H$109,MATCH(B219,'Employee Master'!$A$10:$A$109,0)),"")</f>
        <v/>
      </c>
      <c r="E219" s="16" t="s">
        <v>42</v>
      </c>
      <c r="F219" s="19">
        <v>0.390277777777778</v>
      </c>
      <c r="G219" s="19">
        <v>0.75694444444444398</v>
      </c>
      <c r="H219" s="16">
        <v>0</v>
      </c>
      <c r="I219" s="9"/>
      <c r="J219" s="16">
        <f t="shared" si="6"/>
        <v>8.8000000000000007</v>
      </c>
      <c r="K219" s="16" t="str">
        <f>IF(F219&lt;&gt;"",IF(F219&gt;Lists!$L$10,"Late","On Time"),"")</f>
        <v>On Time</v>
      </c>
      <c r="L219" s="16" t="str">
        <f>IF(G219&lt;&gt;"",IF(G219&lt;Lists!$L$11,"Early","On Time"),"")</f>
        <v>On Time</v>
      </c>
      <c r="M219" s="9" t="str">
        <f t="shared" si="7"/>
        <v>P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</row>
    <row r="220" spans="1:45" x14ac:dyDescent="0.3">
      <c r="A220" s="18">
        <v>46258</v>
      </c>
      <c r="B220" s="9" t="s">
        <v>513</v>
      </c>
      <c r="C220" s="9" t="str">
        <f>IFERROR(INDEX('Employee Master'!$B$10:$B$109,MATCH(B220,'Employee Master'!$A$10:$A$109,0)),"")</f>
        <v/>
      </c>
      <c r="D220" s="9" t="str">
        <f>IFERROR(INDEX('Employee Master'!$H$10:$H$109,MATCH(B220,'Employee Master'!$A$10:$A$109,0)),"")</f>
        <v/>
      </c>
      <c r="E220" s="16" t="s">
        <v>42</v>
      </c>
      <c r="F220" s="19">
        <v>0.390277777777778</v>
      </c>
      <c r="G220" s="19">
        <v>0.75694444444444398</v>
      </c>
      <c r="H220" s="16">
        <v>0</v>
      </c>
      <c r="I220" s="9"/>
      <c r="J220" s="16">
        <f t="shared" si="6"/>
        <v>8.8000000000000007</v>
      </c>
      <c r="K220" s="16" t="str">
        <f>IF(F220&lt;&gt;"",IF(F220&gt;Lists!$L$10,"Late","On Time"),"")</f>
        <v>On Time</v>
      </c>
      <c r="L220" s="16" t="str">
        <f>IF(G220&lt;&gt;"",IF(G220&lt;Lists!$L$11,"Early","On Time"),"")</f>
        <v>On Time</v>
      </c>
      <c r="M220" s="9" t="str">
        <f t="shared" si="7"/>
        <v>P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</row>
    <row r="221" spans="1:45" x14ac:dyDescent="0.3">
      <c r="A221" s="18">
        <v>46258</v>
      </c>
      <c r="B221" s="9" t="s">
        <v>514</v>
      </c>
      <c r="C221" s="9" t="str">
        <f>IFERROR(INDEX('Employee Master'!$B$10:$B$109,MATCH(B221,'Employee Master'!$A$10:$A$109,0)),"")</f>
        <v/>
      </c>
      <c r="D221" s="9" t="str">
        <f>IFERROR(INDEX('Employee Master'!$H$10:$H$109,MATCH(B221,'Employee Master'!$A$10:$A$109,0)),"")</f>
        <v/>
      </c>
      <c r="E221" s="16" t="s">
        <v>42</v>
      </c>
      <c r="F221" s="19">
        <v>0.38194444444444398</v>
      </c>
      <c r="G221" s="19">
        <v>0.75347222222222199</v>
      </c>
      <c r="H221" s="16">
        <v>0</v>
      </c>
      <c r="I221" s="9"/>
      <c r="J221" s="16">
        <f t="shared" si="6"/>
        <v>8.92</v>
      </c>
      <c r="K221" s="16" t="str">
        <f>IF(F221&lt;&gt;"",IF(F221&gt;Lists!$L$10,"Late","On Time"),"")</f>
        <v>On Time</v>
      </c>
      <c r="L221" s="16" t="str">
        <f>IF(G221&lt;&gt;"",IF(G221&lt;Lists!$L$11,"Early","On Time"),"")</f>
        <v>On Time</v>
      </c>
      <c r="M221" s="9" t="str">
        <f t="shared" si="7"/>
        <v>P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</row>
    <row r="222" spans="1:45" x14ac:dyDescent="0.3">
      <c r="A222" s="18">
        <v>46258</v>
      </c>
      <c r="B222" s="9" t="s">
        <v>515</v>
      </c>
      <c r="C222" s="9" t="str">
        <f>IFERROR(INDEX('Employee Master'!$B$10:$B$109,MATCH(B222,'Employee Master'!$A$10:$A$109,0)),"")</f>
        <v/>
      </c>
      <c r="D222" s="9" t="str">
        <f>IFERROR(INDEX('Employee Master'!$H$10:$H$109,MATCH(B222,'Employee Master'!$A$10:$A$109,0)),"")</f>
        <v/>
      </c>
      <c r="E222" s="16" t="s">
        <v>42</v>
      </c>
      <c r="F222" s="19">
        <v>0.38750000000000001</v>
      </c>
      <c r="G222" s="19">
        <v>0.77430555555555602</v>
      </c>
      <c r="H222" s="16">
        <v>0</v>
      </c>
      <c r="I222" s="9"/>
      <c r="J222" s="16">
        <f t="shared" si="6"/>
        <v>9.2799999999999994</v>
      </c>
      <c r="K222" s="16" t="str">
        <f>IF(F222&lt;&gt;"",IF(F222&gt;Lists!$L$10,"Late","On Time"),"")</f>
        <v>On Time</v>
      </c>
      <c r="L222" s="16" t="str">
        <f>IF(G222&lt;&gt;"",IF(G222&lt;Lists!$L$11,"Early","On Time"),"")</f>
        <v>On Time</v>
      </c>
      <c r="M222" s="9" t="str">
        <f t="shared" si="7"/>
        <v>P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</row>
    <row r="223" spans="1:45" x14ac:dyDescent="0.3">
      <c r="A223" s="18">
        <v>46258</v>
      </c>
      <c r="B223" s="9" t="s">
        <v>516</v>
      </c>
      <c r="C223" s="9" t="str">
        <f>IFERROR(INDEX('Employee Master'!$B$10:$B$109,MATCH(B223,'Employee Master'!$A$10:$A$109,0)),"")</f>
        <v/>
      </c>
      <c r="D223" s="9" t="str">
        <f>IFERROR(INDEX('Employee Master'!$H$10:$H$109,MATCH(B223,'Employee Master'!$A$10:$A$109,0)),"")</f>
        <v/>
      </c>
      <c r="E223" s="16" t="s">
        <v>44</v>
      </c>
      <c r="F223" s="19"/>
      <c r="G223" s="19"/>
      <c r="H223" s="16">
        <v>0</v>
      </c>
      <c r="I223" s="9"/>
      <c r="J223" s="16" t="str">
        <f t="shared" si="6"/>
        <v/>
      </c>
      <c r="K223" s="16" t="str">
        <f>IF(F223&lt;&gt;"",IF(F223&gt;Lists!$L$10,"Late","On Time"),"")</f>
        <v/>
      </c>
      <c r="L223" s="16" t="str">
        <f>IF(G223&lt;&gt;"",IF(G223&lt;Lists!$L$11,"Early","On Time"),"")</f>
        <v/>
      </c>
      <c r="M223" s="9" t="str">
        <f t="shared" si="7"/>
        <v>A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</row>
    <row r="224" spans="1:45" x14ac:dyDescent="0.3">
      <c r="A224" s="18">
        <v>46258</v>
      </c>
      <c r="B224" s="9" t="s">
        <v>517</v>
      </c>
      <c r="C224" s="9" t="str">
        <f>IFERROR(INDEX('Employee Master'!$B$10:$B$109,MATCH(B224,'Employee Master'!$A$10:$A$109,0)),"")</f>
        <v/>
      </c>
      <c r="D224" s="9" t="str">
        <f>IFERROR(INDEX('Employee Master'!$H$10:$H$109,MATCH(B224,'Employee Master'!$A$10:$A$109,0)),"")</f>
        <v/>
      </c>
      <c r="E224" s="16" t="s">
        <v>42</v>
      </c>
      <c r="F224" s="19">
        <v>0.37847222222222199</v>
      </c>
      <c r="G224" s="19">
        <v>0.75</v>
      </c>
      <c r="H224" s="16">
        <v>3</v>
      </c>
      <c r="I224" s="9"/>
      <c r="J224" s="16">
        <f t="shared" si="6"/>
        <v>8.92</v>
      </c>
      <c r="K224" s="16" t="str">
        <f>IF(F224&lt;&gt;"",IF(F224&gt;Lists!$L$10,"Late","On Time"),"")</f>
        <v>On Time</v>
      </c>
      <c r="L224" s="16" t="str">
        <f>IF(G224&lt;&gt;"",IF(G224&lt;Lists!$L$11,"Early","On Time"),"")</f>
        <v>On Time</v>
      </c>
      <c r="M224" s="9" t="str">
        <f t="shared" si="7"/>
        <v>P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</row>
    <row r="225" spans="1:45" x14ac:dyDescent="0.3">
      <c r="A225" s="18">
        <v>46258</v>
      </c>
      <c r="B225" s="9" t="s">
        <v>518</v>
      </c>
      <c r="C225" s="9" t="str">
        <f>IFERROR(INDEX('Employee Master'!$B$10:$B$109,MATCH(B225,'Employee Master'!$A$10:$A$109,0)),"")</f>
        <v/>
      </c>
      <c r="D225" s="9" t="str">
        <f>IFERROR(INDEX('Employee Master'!$H$10:$H$109,MATCH(B225,'Employee Master'!$A$10:$A$109,0)),"")</f>
        <v/>
      </c>
      <c r="E225" s="16" t="s">
        <v>42</v>
      </c>
      <c r="F225" s="19">
        <v>0.37847222222222199</v>
      </c>
      <c r="G225" s="19">
        <v>0.77430555555555602</v>
      </c>
      <c r="H225" s="16">
        <v>0</v>
      </c>
      <c r="I225" s="9"/>
      <c r="J225" s="16">
        <f t="shared" si="6"/>
        <v>9.5</v>
      </c>
      <c r="K225" s="16" t="str">
        <f>IF(F225&lt;&gt;"",IF(F225&gt;Lists!$L$10,"Late","On Time"),"")</f>
        <v>On Time</v>
      </c>
      <c r="L225" s="16" t="str">
        <f>IF(G225&lt;&gt;"",IF(G225&lt;Lists!$L$11,"Early","On Time"),"")</f>
        <v>On Time</v>
      </c>
      <c r="M225" s="9" t="str">
        <f t="shared" si="7"/>
        <v>P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</row>
    <row r="226" spans="1:45" x14ac:dyDescent="0.3">
      <c r="A226" s="18">
        <v>46258</v>
      </c>
      <c r="B226" s="9" t="s">
        <v>519</v>
      </c>
      <c r="C226" s="9" t="str">
        <f>IFERROR(INDEX('Employee Master'!$B$10:$B$109,MATCH(B226,'Employee Master'!$A$10:$A$109,0)),"")</f>
        <v/>
      </c>
      <c r="D226" s="9" t="str">
        <f>IFERROR(INDEX('Employee Master'!$H$10:$H$109,MATCH(B226,'Employee Master'!$A$10:$A$109,0)),"")</f>
        <v/>
      </c>
      <c r="E226" s="16" t="s">
        <v>42</v>
      </c>
      <c r="F226" s="19">
        <v>0.390277777777778</v>
      </c>
      <c r="G226" s="19">
        <v>0.75694444444444398</v>
      </c>
      <c r="H226" s="16">
        <v>0</v>
      </c>
      <c r="I226" s="9"/>
      <c r="J226" s="16">
        <f t="shared" si="6"/>
        <v>8.8000000000000007</v>
      </c>
      <c r="K226" s="16" t="str">
        <f>IF(F226&lt;&gt;"",IF(F226&gt;Lists!$L$10,"Late","On Time"),"")</f>
        <v>On Time</v>
      </c>
      <c r="L226" s="16" t="str">
        <f>IF(G226&lt;&gt;"",IF(G226&lt;Lists!$L$11,"Early","On Time"),"")</f>
        <v>On Time</v>
      </c>
      <c r="M226" s="9" t="str">
        <f t="shared" si="7"/>
        <v>P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</row>
    <row r="227" spans="1:45" x14ac:dyDescent="0.3">
      <c r="A227" s="18">
        <v>46258</v>
      </c>
      <c r="B227" s="9" t="s">
        <v>520</v>
      </c>
      <c r="C227" s="9" t="str">
        <f>IFERROR(INDEX('Employee Master'!$B$10:$B$109,MATCH(B227,'Employee Master'!$A$10:$A$109,0)),"")</f>
        <v/>
      </c>
      <c r="D227" s="9" t="str">
        <f>IFERROR(INDEX('Employee Master'!$H$10:$H$109,MATCH(B227,'Employee Master'!$A$10:$A$109,0)),"")</f>
        <v/>
      </c>
      <c r="E227" s="16" t="s">
        <v>42</v>
      </c>
      <c r="F227" s="19">
        <v>0.390277777777778</v>
      </c>
      <c r="G227" s="19">
        <v>0.76388888888888895</v>
      </c>
      <c r="H227" s="16">
        <v>1</v>
      </c>
      <c r="I227" s="9"/>
      <c r="J227" s="16">
        <f t="shared" si="6"/>
        <v>8.9700000000000006</v>
      </c>
      <c r="K227" s="16" t="str">
        <f>IF(F227&lt;&gt;"",IF(F227&gt;Lists!$L$10,"Late","On Time"),"")</f>
        <v>On Time</v>
      </c>
      <c r="L227" s="16" t="str">
        <f>IF(G227&lt;&gt;"",IF(G227&lt;Lists!$L$11,"Early","On Time"),"")</f>
        <v>On Time</v>
      </c>
      <c r="M227" s="9" t="str">
        <f t="shared" si="7"/>
        <v>P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</row>
    <row r="228" spans="1:45" x14ac:dyDescent="0.3">
      <c r="A228" s="18">
        <v>46258</v>
      </c>
      <c r="B228" s="9" t="s">
        <v>521</v>
      </c>
      <c r="C228" s="9" t="str">
        <f>IFERROR(INDEX('Employee Master'!$B$10:$B$109,MATCH(B228,'Employee Master'!$A$10:$A$109,0)),"")</f>
        <v/>
      </c>
      <c r="D228" s="9" t="str">
        <f>IFERROR(INDEX('Employee Master'!$H$10:$H$109,MATCH(B228,'Employee Master'!$A$10:$A$109,0)),"")</f>
        <v/>
      </c>
      <c r="E228" s="16" t="s">
        <v>42</v>
      </c>
      <c r="F228" s="19">
        <v>0.38194444444444398</v>
      </c>
      <c r="G228" s="19">
        <v>0.75347222222222199</v>
      </c>
      <c r="H228" s="16">
        <v>0</v>
      </c>
      <c r="I228" s="9"/>
      <c r="J228" s="16">
        <f t="shared" si="6"/>
        <v>8.92</v>
      </c>
      <c r="K228" s="16" t="str">
        <f>IF(F228&lt;&gt;"",IF(F228&gt;Lists!$L$10,"Late","On Time"),"")</f>
        <v>On Time</v>
      </c>
      <c r="L228" s="16" t="str">
        <f>IF(G228&lt;&gt;"",IF(G228&lt;Lists!$L$11,"Early","On Time"),"")</f>
        <v>On Time</v>
      </c>
      <c r="M228" s="9" t="str">
        <f t="shared" si="7"/>
        <v>P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</row>
    <row r="229" spans="1:45" x14ac:dyDescent="0.3">
      <c r="A229" s="18">
        <v>46258</v>
      </c>
      <c r="B229" s="9" t="s">
        <v>522</v>
      </c>
      <c r="C229" s="9" t="str">
        <f>IFERROR(INDEX('Employee Master'!$B$10:$B$109,MATCH(B229,'Employee Master'!$A$10:$A$109,0)),"")</f>
        <v/>
      </c>
      <c r="D229" s="9" t="str">
        <f>IFERROR(INDEX('Employee Master'!$H$10:$H$109,MATCH(B229,'Employee Master'!$A$10:$A$109,0)),"")</f>
        <v/>
      </c>
      <c r="E229" s="16" t="s">
        <v>46</v>
      </c>
      <c r="F229" s="19"/>
      <c r="G229" s="19"/>
      <c r="H229" s="16">
        <v>0</v>
      </c>
      <c r="I229" s="9"/>
      <c r="J229" s="16" t="str">
        <f t="shared" si="6"/>
        <v/>
      </c>
      <c r="K229" s="16" t="str">
        <f>IF(F229&lt;&gt;"",IF(F229&gt;Lists!$L$10,"Late","On Time"),"")</f>
        <v/>
      </c>
      <c r="L229" s="16" t="str">
        <f>IF(G229&lt;&gt;"",IF(G229&lt;Lists!$L$11,"Early","On Time"),"")</f>
        <v/>
      </c>
      <c r="M229" s="9" t="str">
        <f t="shared" si="7"/>
        <v>WO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</row>
    <row r="230" spans="1:45" x14ac:dyDescent="0.3">
      <c r="A230" s="18">
        <v>46258</v>
      </c>
      <c r="B230" s="9" t="s">
        <v>523</v>
      </c>
      <c r="C230" s="9" t="str">
        <f>IFERROR(INDEX('Employee Master'!$B$10:$B$109,MATCH(B230,'Employee Master'!$A$10:$A$109,0)),"")</f>
        <v/>
      </c>
      <c r="D230" s="9" t="str">
        <f>IFERROR(INDEX('Employee Master'!$H$10:$H$109,MATCH(B230,'Employee Master'!$A$10:$A$109,0)),"")</f>
        <v/>
      </c>
      <c r="E230" s="16" t="s">
        <v>42</v>
      </c>
      <c r="F230" s="19">
        <v>0.38541666666666702</v>
      </c>
      <c r="G230" s="19">
        <v>0.75</v>
      </c>
      <c r="H230" s="16">
        <v>3</v>
      </c>
      <c r="I230" s="9"/>
      <c r="J230" s="16">
        <f t="shared" si="6"/>
        <v>8.75</v>
      </c>
      <c r="K230" s="16" t="str">
        <f>IF(F230&lt;&gt;"",IF(F230&gt;Lists!$L$10,"Late","On Time"),"")</f>
        <v>On Time</v>
      </c>
      <c r="L230" s="16" t="str">
        <f>IF(G230&lt;&gt;"",IF(G230&lt;Lists!$L$11,"Early","On Time"),"")</f>
        <v>On Time</v>
      </c>
      <c r="M230" s="9" t="str">
        <f t="shared" si="7"/>
        <v>P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</row>
    <row r="231" spans="1:45" x14ac:dyDescent="0.3">
      <c r="A231" s="18">
        <v>46258</v>
      </c>
      <c r="B231" s="9" t="s">
        <v>524</v>
      </c>
      <c r="C231" s="9" t="str">
        <f>IFERROR(INDEX('Employee Master'!$B$10:$B$109,MATCH(B231,'Employee Master'!$A$10:$A$109,0)),"")</f>
        <v/>
      </c>
      <c r="D231" s="9" t="str">
        <f>IFERROR(INDEX('Employee Master'!$H$10:$H$109,MATCH(B231,'Employee Master'!$A$10:$A$109,0)),"")</f>
        <v/>
      </c>
      <c r="E231" s="16" t="s">
        <v>42</v>
      </c>
      <c r="F231" s="19">
        <v>0.390277777777778</v>
      </c>
      <c r="G231" s="19">
        <v>0.77430555555555602</v>
      </c>
      <c r="H231" s="16">
        <v>0</v>
      </c>
      <c r="I231" s="9"/>
      <c r="J231" s="16">
        <f t="shared" si="6"/>
        <v>9.2200000000000006</v>
      </c>
      <c r="K231" s="16" t="str">
        <f>IF(F231&lt;&gt;"",IF(F231&gt;Lists!$L$10,"Late","On Time"),"")</f>
        <v>On Time</v>
      </c>
      <c r="L231" s="16" t="str">
        <f>IF(G231&lt;&gt;"",IF(G231&lt;Lists!$L$11,"Early","On Time"),"")</f>
        <v>On Time</v>
      </c>
      <c r="M231" s="9" t="str">
        <f t="shared" si="7"/>
        <v>P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</row>
    <row r="232" spans="1:45" x14ac:dyDescent="0.3">
      <c r="A232" s="18">
        <v>46258</v>
      </c>
      <c r="B232" s="9" t="s">
        <v>525</v>
      </c>
      <c r="C232" s="9" t="str">
        <f>IFERROR(INDEX('Employee Master'!$B$10:$B$109,MATCH(B232,'Employee Master'!$A$10:$A$109,0)),"")</f>
        <v/>
      </c>
      <c r="D232" s="9" t="str">
        <f>IFERROR(INDEX('Employee Master'!$H$10:$H$109,MATCH(B232,'Employee Master'!$A$10:$A$109,0)),"")</f>
        <v/>
      </c>
      <c r="E232" s="16" t="s">
        <v>42</v>
      </c>
      <c r="F232" s="19">
        <v>0.39236111111111099</v>
      </c>
      <c r="G232" s="19">
        <v>0.76388888888888895</v>
      </c>
      <c r="H232" s="16">
        <v>0</v>
      </c>
      <c r="I232" s="9"/>
      <c r="J232" s="16">
        <f t="shared" si="6"/>
        <v>8.92</v>
      </c>
      <c r="K232" s="16" t="str">
        <f>IF(F232&lt;&gt;"",IF(F232&gt;Lists!$L$10,"Late","On Time"),"")</f>
        <v>On Time</v>
      </c>
      <c r="L232" s="16" t="str">
        <f>IF(G232&lt;&gt;"",IF(G232&lt;Lists!$L$11,"Early","On Time"),"")</f>
        <v>On Time</v>
      </c>
      <c r="M232" s="9" t="str">
        <f t="shared" si="7"/>
        <v>P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</row>
    <row r="233" spans="1:45" x14ac:dyDescent="0.3">
      <c r="A233" s="18">
        <v>46258</v>
      </c>
      <c r="B233" s="9" t="s">
        <v>526</v>
      </c>
      <c r="C233" s="9" t="str">
        <f>IFERROR(INDEX('Employee Master'!$B$10:$B$109,MATCH(B233,'Employee Master'!$A$10:$A$109,0)),"")</f>
        <v/>
      </c>
      <c r="D233" s="9" t="str">
        <f>IFERROR(INDEX('Employee Master'!$H$10:$H$109,MATCH(B233,'Employee Master'!$A$10:$A$109,0)),"")</f>
        <v/>
      </c>
      <c r="E233" s="16" t="s">
        <v>42</v>
      </c>
      <c r="F233" s="19">
        <v>0.37847222222222199</v>
      </c>
      <c r="G233" s="19">
        <v>0.75</v>
      </c>
      <c r="H233" s="16">
        <v>0</v>
      </c>
      <c r="I233" s="9"/>
      <c r="J233" s="16">
        <f t="shared" si="6"/>
        <v>8.92</v>
      </c>
      <c r="K233" s="16" t="str">
        <f>IF(F233&lt;&gt;"",IF(F233&gt;Lists!$L$10,"Late","On Time"),"")</f>
        <v>On Time</v>
      </c>
      <c r="L233" s="16" t="str">
        <f>IF(G233&lt;&gt;"",IF(G233&lt;Lists!$L$11,"Early","On Time"),"")</f>
        <v>On Time</v>
      </c>
      <c r="M233" s="9" t="str">
        <f t="shared" si="7"/>
        <v>P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</row>
    <row r="234" spans="1:45" x14ac:dyDescent="0.3">
      <c r="A234" s="18">
        <v>46258</v>
      </c>
      <c r="B234" s="9" t="s">
        <v>527</v>
      </c>
      <c r="C234" s="9" t="str">
        <f>IFERROR(INDEX('Employee Master'!$B$10:$B$109,MATCH(B234,'Employee Master'!$A$10:$A$109,0)),"")</f>
        <v/>
      </c>
      <c r="D234" s="9" t="str">
        <f>IFERROR(INDEX('Employee Master'!$H$10:$H$109,MATCH(B234,'Employee Master'!$A$10:$A$109,0)),"")</f>
        <v/>
      </c>
      <c r="E234" s="16" t="s">
        <v>42</v>
      </c>
      <c r="F234" s="19">
        <v>0.38194444444444398</v>
      </c>
      <c r="G234" s="19">
        <v>0.75347222222222199</v>
      </c>
      <c r="H234" s="16">
        <v>1</v>
      </c>
      <c r="I234" s="9"/>
      <c r="J234" s="16">
        <f t="shared" si="6"/>
        <v>8.92</v>
      </c>
      <c r="K234" s="16" t="str">
        <f>IF(F234&lt;&gt;"",IF(F234&gt;Lists!$L$10,"Late","On Time"),"")</f>
        <v>On Time</v>
      </c>
      <c r="L234" s="16" t="str">
        <f>IF(G234&lt;&gt;"",IF(G234&lt;Lists!$L$11,"Early","On Time"),"")</f>
        <v>On Time</v>
      </c>
      <c r="M234" s="9" t="str">
        <f t="shared" si="7"/>
        <v>P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</row>
    <row r="235" spans="1:45" x14ac:dyDescent="0.3">
      <c r="A235" s="18">
        <v>46258</v>
      </c>
      <c r="B235" s="9" t="s">
        <v>528</v>
      </c>
      <c r="C235" s="9" t="str">
        <f>IFERROR(INDEX('Employee Master'!$B$10:$B$109,MATCH(B235,'Employee Master'!$A$10:$A$109,0)),"")</f>
        <v/>
      </c>
      <c r="D235" s="9" t="str">
        <f>IFERROR(INDEX('Employee Master'!$H$10:$H$109,MATCH(B235,'Employee Master'!$A$10:$A$109,0)),"")</f>
        <v/>
      </c>
      <c r="E235" s="16" t="s">
        <v>44</v>
      </c>
      <c r="F235" s="19"/>
      <c r="G235" s="19"/>
      <c r="H235" s="16">
        <v>0</v>
      </c>
      <c r="I235" s="9"/>
      <c r="J235" s="16" t="str">
        <f t="shared" si="6"/>
        <v/>
      </c>
      <c r="K235" s="16" t="str">
        <f>IF(F235&lt;&gt;"",IF(F235&gt;Lists!$L$10,"Late","On Time"),"")</f>
        <v/>
      </c>
      <c r="L235" s="16" t="str">
        <f>IF(G235&lt;&gt;"",IF(G235&lt;Lists!$L$11,"Early","On Time"),"")</f>
        <v/>
      </c>
      <c r="M235" s="9" t="str">
        <f t="shared" si="7"/>
        <v>A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</row>
    <row r="236" spans="1:45" x14ac:dyDescent="0.3">
      <c r="A236" s="18">
        <v>46258</v>
      </c>
      <c r="B236" s="9" t="s">
        <v>529</v>
      </c>
      <c r="C236" s="9" t="str">
        <f>IFERROR(INDEX('Employee Master'!$B$10:$B$109,MATCH(B236,'Employee Master'!$A$10:$A$109,0)),"")</f>
        <v/>
      </c>
      <c r="D236" s="9" t="str">
        <f>IFERROR(INDEX('Employee Master'!$H$10:$H$109,MATCH(B236,'Employee Master'!$A$10:$A$109,0)),"")</f>
        <v/>
      </c>
      <c r="E236" s="16" t="s">
        <v>42</v>
      </c>
      <c r="F236" s="19">
        <v>0.43402777777777801</v>
      </c>
      <c r="G236" s="19">
        <v>0.42013888888888901</v>
      </c>
      <c r="H236" s="16">
        <v>2</v>
      </c>
      <c r="I236" s="9"/>
      <c r="J236" s="16">
        <f t="shared" si="6"/>
        <v>-0.33</v>
      </c>
      <c r="K236" s="16" t="str">
        <f>IF(F236&lt;&gt;"",IF(F236&gt;Lists!$L$10,"Late","On Time"),"")</f>
        <v>Late</v>
      </c>
      <c r="L236" s="16" t="str">
        <f>IF(G236&lt;&gt;"",IF(G236&lt;Lists!$L$11,"Early","On Time"),"")</f>
        <v>Early</v>
      </c>
      <c r="M236" s="9" t="str">
        <f t="shared" si="7"/>
        <v>P +Late +Early Exit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</row>
    <row r="237" spans="1:45" x14ac:dyDescent="0.3">
      <c r="A237" s="18">
        <v>46258</v>
      </c>
      <c r="B237" s="9" t="s">
        <v>530</v>
      </c>
      <c r="C237" s="9" t="str">
        <f>IFERROR(INDEX('Employee Master'!$B$10:$B$109,MATCH(B237,'Employee Master'!$A$10:$A$109,0)),"")</f>
        <v/>
      </c>
      <c r="D237" s="9" t="str">
        <f>IFERROR(INDEX('Employee Master'!$H$10:$H$109,MATCH(B237,'Employee Master'!$A$10:$A$109,0)),"")</f>
        <v/>
      </c>
      <c r="E237" s="16" t="s">
        <v>46</v>
      </c>
      <c r="F237" s="19"/>
      <c r="G237" s="19"/>
      <c r="H237" s="16">
        <v>0</v>
      </c>
      <c r="I237" s="9"/>
      <c r="J237" s="16" t="str">
        <f t="shared" si="6"/>
        <v/>
      </c>
      <c r="K237" s="16" t="str">
        <f>IF(F237&lt;&gt;"",IF(F237&gt;Lists!$L$10,"Late","On Time"),"")</f>
        <v/>
      </c>
      <c r="L237" s="16" t="str">
        <f>IF(G237&lt;&gt;"",IF(G237&lt;Lists!$L$11,"Early","On Time"),"")</f>
        <v/>
      </c>
      <c r="M237" s="9" t="str">
        <f t="shared" si="7"/>
        <v>WO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</row>
    <row r="238" spans="1:45" x14ac:dyDescent="0.3">
      <c r="A238" s="18">
        <v>46258</v>
      </c>
      <c r="B238" s="9" t="s">
        <v>531</v>
      </c>
      <c r="C238" s="9" t="str">
        <f>IFERROR(INDEX('Employee Master'!$B$10:$B$109,MATCH(B238,'Employee Master'!$A$10:$A$109,0)),"")</f>
        <v/>
      </c>
      <c r="D238" s="9" t="str">
        <f>IFERROR(INDEX('Employee Master'!$H$10:$H$109,MATCH(B238,'Employee Master'!$A$10:$A$109,0)),"")</f>
        <v/>
      </c>
      <c r="E238" s="16" t="s">
        <v>42</v>
      </c>
      <c r="F238" s="19">
        <v>0.39236111111111099</v>
      </c>
      <c r="G238" s="19">
        <v>0.76388888888888895</v>
      </c>
      <c r="H238" s="16">
        <v>0</v>
      </c>
      <c r="I238" s="9"/>
      <c r="J238" s="16">
        <f t="shared" si="6"/>
        <v>8.92</v>
      </c>
      <c r="K238" s="16" t="str">
        <f>IF(F238&lt;&gt;"",IF(F238&gt;Lists!$L$10,"Late","On Time"),"")</f>
        <v>On Time</v>
      </c>
      <c r="L238" s="16" t="str">
        <f>IF(G238&lt;&gt;"",IF(G238&lt;Lists!$L$11,"Early","On Time"),"")</f>
        <v>On Time</v>
      </c>
      <c r="M238" s="9" t="str">
        <f t="shared" si="7"/>
        <v>P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</row>
    <row r="239" spans="1:45" x14ac:dyDescent="0.3">
      <c r="A239" s="18">
        <v>46258</v>
      </c>
      <c r="B239" s="9" t="s">
        <v>532</v>
      </c>
      <c r="C239" s="9" t="str">
        <f>IFERROR(INDEX('Employee Master'!$B$10:$B$109,MATCH(B239,'Employee Master'!$A$10:$A$109,0)),"")</f>
        <v/>
      </c>
      <c r="D239" s="9" t="str">
        <f>IFERROR(INDEX('Employee Master'!$H$10:$H$109,MATCH(B239,'Employee Master'!$A$10:$A$109,0)),"")</f>
        <v/>
      </c>
      <c r="E239" s="16" t="s">
        <v>44</v>
      </c>
      <c r="F239" s="19"/>
      <c r="G239" s="19"/>
      <c r="H239" s="16">
        <v>0</v>
      </c>
      <c r="I239" s="9"/>
      <c r="J239" s="16" t="str">
        <f t="shared" si="6"/>
        <v/>
      </c>
      <c r="K239" s="16" t="str">
        <f>IF(F239&lt;&gt;"",IF(F239&gt;Lists!$L$10,"Late","On Time"),"")</f>
        <v/>
      </c>
      <c r="L239" s="16" t="str">
        <f>IF(G239&lt;&gt;"",IF(G239&lt;Lists!$L$11,"Early","On Time"),"")</f>
        <v/>
      </c>
      <c r="M239" s="9" t="str">
        <f t="shared" si="7"/>
        <v>A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</row>
    <row r="240" spans="1:45" x14ac:dyDescent="0.3">
      <c r="A240" s="18">
        <v>46258</v>
      </c>
      <c r="B240" s="9" t="s">
        <v>533</v>
      </c>
      <c r="C240" s="9" t="str">
        <f>IFERROR(INDEX('Employee Master'!$B$10:$B$109,MATCH(B240,'Employee Master'!$A$10:$A$109,0)),"")</f>
        <v/>
      </c>
      <c r="D240" s="9" t="str">
        <f>IFERROR(INDEX('Employee Master'!$H$10:$H$109,MATCH(B240,'Employee Master'!$A$10:$A$109,0)),"")</f>
        <v/>
      </c>
      <c r="E240" s="16" t="s">
        <v>46</v>
      </c>
      <c r="F240" s="19"/>
      <c r="G240" s="19"/>
      <c r="H240" s="16">
        <v>0</v>
      </c>
      <c r="I240" s="9"/>
      <c r="J240" s="16" t="str">
        <f t="shared" si="6"/>
        <v/>
      </c>
      <c r="K240" s="16" t="str">
        <f>IF(F240&lt;&gt;"",IF(F240&gt;Lists!$L$10,"Late","On Time"),"")</f>
        <v/>
      </c>
      <c r="L240" s="16" t="str">
        <f>IF(G240&lt;&gt;"",IF(G240&lt;Lists!$L$11,"Early","On Time"),"")</f>
        <v/>
      </c>
      <c r="M240" s="9" t="str">
        <f t="shared" si="7"/>
        <v>WO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</row>
    <row r="241" spans="1:45" x14ac:dyDescent="0.3">
      <c r="A241" s="18">
        <v>46258</v>
      </c>
      <c r="B241" s="9" t="s">
        <v>534</v>
      </c>
      <c r="C241" s="9" t="str">
        <f>IFERROR(INDEX('Employee Master'!$B$10:$B$109,MATCH(B241,'Employee Master'!$A$10:$A$109,0)),"")</f>
        <v/>
      </c>
      <c r="D241" s="9" t="str">
        <f>IFERROR(INDEX('Employee Master'!$H$10:$H$109,MATCH(B241,'Employee Master'!$A$10:$A$109,0)),"")</f>
        <v/>
      </c>
      <c r="E241" s="16" t="s">
        <v>42</v>
      </c>
      <c r="F241" s="19">
        <v>0.37847222222222199</v>
      </c>
      <c r="G241" s="19">
        <v>0.75694444444444398</v>
      </c>
      <c r="H241" s="16">
        <v>0</v>
      </c>
      <c r="I241" s="9"/>
      <c r="J241" s="16">
        <f t="shared" si="6"/>
        <v>9.08</v>
      </c>
      <c r="K241" s="16" t="str">
        <f>IF(F241&lt;&gt;"",IF(F241&gt;Lists!$L$10,"Late","On Time"),"")</f>
        <v>On Time</v>
      </c>
      <c r="L241" s="16" t="str">
        <f>IF(G241&lt;&gt;"",IF(G241&lt;Lists!$L$11,"Early","On Time"),"")</f>
        <v>On Time</v>
      </c>
      <c r="M241" s="9" t="str">
        <f t="shared" si="7"/>
        <v>P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</row>
    <row r="242" spans="1:45" x14ac:dyDescent="0.3">
      <c r="A242" s="18">
        <v>46258</v>
      </c>
      <c r="B242" s="9" t="s">
        <v>535</v>
      </c>
      <c r="C242" s="9" t="str">
        <f>IFERROR(INDEX('Employee Master'!$B$10:$B$109,MATCH(B242,'Employee Master'!$A$10:$A$109,0)),"")</f>
        <v/>
      </c>
      <c r="D242" s="9" t="str">
        <f>IFERROR(INDEX('Employee Master'!$H$10:$H$109,MATCH(B242,'Employee Master'!$A$10:$A$109,0)),"")</f>
        <v/>
      </c>
      <c r="E242" s="16" t="s">
        <v>44</v>
      </c>
      <c r="F242" s="19"/>
      <c r="G242" s="19"/>
      <c r="H242" s="16">
        <v>0</v>
      </c>
      <c r="I242" s="9"/>
      <c r="J242" s="16" t="str">
        <f t="shared" si="6"/>
        <v/>
      </c>
      <c r="K242" s="16" t="str">
        <f>IF(F242&lt;&gt;"",IF(F242&gt;Lists!$L$10,"Late","On Time"),"")</f>
        <v/>
      </c>
      <c r="L242" s="16" t="str">
        <f>IF(G242&lt;&gt;"",IF(G242&lt;Lists!$L$11,"Early","On Time"),"")</f>
        <v/>
      </c>
      <c r="M242" s="9" t="str">
        <f t="shared" si="7"/>
        <v>A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</row>
    <row r="243" spans="1:45" x14ac:dyDescent="0.3">
      <c r="A243" s="18">
        <v>46258</v>
      </c>
      <c r="B243" s="9" t="s">
        <v>536</v>
      </c>
      <c r="C243" s="9" t="str">
        <f>IFERROR(INDEX('Employee Master'!$B$10:$B$109,MATCH(B243,'Employee Master'!$A$10:$A$109,0)),"")</f>
        <v/>
      </c>
      <c r="D243" s="9" t="str">
        <f>IFERROR(INDEX('Employee Master'!$H$10:$H$109,MATCH(B243,'Employee Master'!$A$10:$A$109,0)),"")</f>
        <v/>
      </c>
      <c r="E243" s="16" t="s">
        <v>42</v>
      </c>
      <c r="F243" s="19">
        <v>0.38541666666666702</v>
      </c>
      <c r="G243" s="19">
        <v>0.77430555555555602</v>
      </c>
      <c r="H243" s="16">
        <v>0</v>
      </c>
      <c r="I243" s="9"/>
      <c r="J243" s="16">
        <f t="shared" si="6"/>
        <v>9.33</v>
      </c>
      <c r="K243" s="16" t="str">
        <f>IF(F243&lt;&gt;"",IF(F243&gt;Lists!$L$10,"Late","On Time"),"")</f>
        <v>On Time</v>
      </c>
      <c r="L243" s="16" t="str">
        <f>IF(G243&lt;&gt;"",IF(G243&lt;Lists!$L$11,"Early","On Time"),"")</f>
        <v>On Time</v>
      </c>
      <c r="M243" s="9" t="str">
        <f t="shared" si="7"/>
        <v>P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</row>
    <row r="244" spans="1:45" x14ac:dyDescent="0.3">
      <c r="A244" s="18">
        <v>46258</v>
      </c>
      <c r="B244" s="9" t="s">
        <v>537</v>
      </c>
      <c r="C244" s="9" t="str">
        <f>IFERROR(INDEX('Employee Master'!$B$10:$B$109,MATCH(B244,'Employee Master'!$A$10:$A$109,0)),"")</f>
        <v/>
      </c>
      <c r="D244" s="9" t="str">
        <f>IFERROR(INDEX('Employee Master'!$H$10:$H$109,MATCH(B244,'Employee Master'!$A$10:$A$109,0)),"")</f>
        <v/>
      </c>
      <c r="E244" s="16" t="s">
        <v>42</v>
      </c>
      <c r="F244" s="19">
        <v>0.390277777777778</v>
      </c>
      <c r="G244" s="19">
        <v>0.75694444444444398</v>
      </c>
      <c r="H244" s="16">
        <v>0</v>
      </c>
      <c r="I244" s="9"/>
      <c r="J244" s="16">
        <f t="shared" si="6"/>
        <v>8.8000000000000007</v>
      </c>
      <c r="K244" s="16" t="str">
        <f>IF(F244&lt;&gt;"",IF(F244&gt;Lists!$L$10,"Late","On Time"),"")</f>
        <v>On Time</v>
      </c>
      <c r="L244" s="16" t="str">
        <f>IF(G244&lt;&gt;"",IF(G244&lt;Lists!$L$11,"Early","On Time"),"")</f>
        <v>On Time</v>
      </c>
      <c r="M244" s="9" t="str">
        <f t="shared" si="7"/>
        <v>P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</row>
    <row r="245" spans="1:45" x14ac:dyDescent="0.3">
      <c r="A245" s="18">
        <v>46258</v>
      </c>
      <c r="B245" s="9" t="s">
        <v>538</v>
      </c>
      <c r="C245" s="9" t="str">
        <f>IFERROR(INDEX('Employee Master'!$B$10:$B$109,MATCH(B245,'Employee Master'!$A$10:$A$109,0)),"")</f>
        <v/>
      </c>
      <c r="D245" s="9" t="str">
        <f>IFERROR(INDEX('Employee Master'!$H$10:$H$109,MATCH(B245,'Employee Master'!$A$10:$A$109,0)),"")</f>
        <v/>
      </c>
      <c r="E245" s="16" t="s">
        <v>42</v>
      </c>
      <c r="F245" s="19">
        <v>0.38194444444444398</v>
      </c>
      <c r="G245" s="19">
        <v>0.75</v>
      </c>
      <c r="H245" s="16">
        <v>0</v>
      </c>
      <c r="I245" s="9"/>
      <c r="J245" s="16">
        <f t="shared" si="6"/>
        <v>8.83</v>
      </c>
      <c r="K245" s="16" t="str">
        <f>IF(F245&lt;&gt;"",IF(F245&gt;Lists!$L$10,"Late","On Time"),"")</f>
        <v>On Time</v>
      </c>
      <c r="L245" s="16" t="str">
        <f>IF(G245&lt;&gt;"",IF(G245&lt;Lists!$L$11,"Early","On Time"),"")</f>
        <v>On Time</v>
      </c>
      <c r="M245" s="9" t="str">
        <f t="shared" si="7"/>
        <v>P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</row>
    <row r="246" spans="1:45" x14ac:dyDescent="0.3">
      <c r="A246" s="18">
        <v>46258</v>
      </c>
      <c r="B246" s="9" t="s">
        <v>539</v>
      </c>
      <c r="C246" s="9" t="str">
        <f>IFERROR(INDEX('Employee Master'!$B$10:$B$109,MATCH(B246,'Employee Master'!$A$10:$A$109,0)),"")</f>
        <v/>
      </c>
      <c r="D246" s="9" t="str">
        <f>IFERROR(INDEX('Employee Master'!$H$10:$H$109,MATCH(B246,'Employee Master'!$A$10:$A$109,0)),"")</f>
        <v/>
      </c>
      <c r="E246" s="16" t="s">
        <v>44</v>
      </c>
      <c r="F246" s="19"/>
      <c r="G246" s="19"/>
      <c r="H246" s="16">
        <v>0</v>
      </c>
      <c r="I246" s="9"/>
      <c r="J246" s="16" t="str">
        <f t="shared" si="6"/>
        <v/>
      </c>
      <c r="K246" s="16" t="str">
        <f>IF(F246&lt;&gt;"",IF(F246&gt;Lists!$L$10,"Late","On Time"),"")</f>
        <v/>
      </c>
      <c r="L246" s="16" t="str">
        <f>IF(G246&lt;&gt;"",IF(G246&lt;Lists!$L$11,"Early","On Time"),"")</f>
        <v/>
      </c>
      <c r="M246" s="9" t="str">
        <f t="shared" si="7"/>
        <v>A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</row>
    <row r="247" spans="1:45" x14ac:dyDescent="0.3">
      <c r="A247" s="18">
        <v>46258</v>
      </c>
      <c r="B247" s="9" t="s">
        <v>540</v>
      </c>
      <c r="C247" s="9" t="str">
        <f>IFERROR(INDEX('Employee Master'!$B$10:$B$109,MATCH(B247,'Employee Master'!$A$10:$A$109,0)),"")</f>
        <v/>
      </c>
      <c r="D247" s="9" t="str">
        <f>IFERROR(INDEX('Employee Master'!$H$10:$H$109,MATCH(B247,'Employee Master'!$A$10:$A$109,0)),"")</f>
        <v/>
      </c>
      <c r="E247" s="16" t="s">
        <v>42</v>
      </c>
      <c r="F247" s="19">
        <v>0.38194444444444398</v>
      </c>
      <c r="G247" s="19">
        <v>0.75347222222222199</v>
      </c>
      <c r="H247" s="16">
        <v>0</v>
      </c>
      <c r="I247" s="9"/>
      <c r="J247" s="16">
        <f t="shared" si="6"/>
        <v>8.92</v>
      </c>
      <c r="K247" s="16" t="str">
        <f>IF(F247&lt;&gt;"",IF(F247&gt;Lists!$L$10,"Late","On Time"),"")</f>
        <v>On Time</v>
      </c>
      <c r="L247" s="16" t="str">
        <f>IF(G247&lt;&gt;"",IF(G247&lt;Lists!$L$11,"Early","On Time"),"")</f>
        <v>On Time</v>
      </c>
      <c r="M247" s="9" t="str">
        <f t="shared" si="7"/>
        <v>P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</row>
    <row r="248" spans="1:45" x14ac:dyDescent="0.3">
      <c r="A248" s="18">
        <v>46259</v>
      </c>
      <c r="B248" s="9" t="s">
        <v>541</v>
      </c>
      <c r="C248" s="9" t="str">
        <f>IFERROR(INDEX('Employee Master'!$B$10:$B$109,MATCH(B248,'Employee Master'!$A$10:$A$109,0)),"")</f>
        <v/>
      </c>
      <c r="D248" s="9" t="str">
        <f>IFERROR(INDEX('Employee Master'!$H$10:$H$109,MATCH(B248,'Employee Master'!$A$10:$A$109,0)),"")</f>
        <v/>
      </c>
      <c r="E248" s="16" t="s">
        <v>42</v>
      </c>
      <c r="F248" s="19">
        <v>0.38750000000000001</v>
      </c>
      <c r="G248" s="19">
        <v>0.75694444444444398</v>
      </c>
      <c r="H248" s="16">
        <v>0</v>
      </c>
      <c r="I248" s="9"/>
      <c r="J248" s="16">
        <f t="shared" si="6"/>
        <v>8.8699999999999992</v>
      </c>
      <c r="K248" s="16" t="str">
        <f>IF(F248&lt;&gt;"",IF(F248&gt;Lists!$L$10,"Late","On Time"),"")</f>
        <v>On Time</v>
      </c>
      <c r="L248" s="16" t="str">
        <f>IF(G248&lt;&gt;"",IF(G248&lt;Lists!$L$11,"Early","On Time"),"")</f>
        <v>On Time</v>
      </c>
      <c r="M248" s="9" t="str">
        <f t="shared" si="7"/>
        <v>P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</row>
    <row r="249" spans="1:45" x14ac:dyDescent="0.3">
      <c r="A249" s="18">
        <v>46259</v>
      </c>
      <c r="B249" s="9" t="s">
        <v>542</v>
      </c>
      <c r="C249" s="9" t="str">
        <f>IFERROR(INDEX('Employee Master'!$B$10:$B$109,MATCH(B249,'Employee Master'!$A$10:$A$109,0)),"")</f>
        <v/>
      </c>
      <c r="D249" s="9" t="str">
        <f>IFERROR(INDEX('Employee Master'!$H$10:$H$109,MATCH(B249,'Employee Master'!$A$10:$A$109,0)),"")</f>
        <v/>
      </c>
      <c r="E249" s="16" t="s">
        <v>42</v>
      </c>
      <c r="F249" s="19">
        <v>0.39236111111111099</v>
      </c>
      <c r="G249" s="19">
        <v>0.77430555555555602</v>
      </c>
      <c r="H249" s="16">
        <v>0</v>
      </c>
      <c r="I249" s="9"/>
      <c r="J249" s="16">
        <f t="shared" si="6"/>
        <v>9.17</v>
      </c>
      <c r="K249" s="16" t="str">
        <f>IF(F249&lt;&gt;"",IF(F249&gt;Lists!$L$10,"Late","On Time"),"")</f>
        <v>On Time</v>
      </c>
      <c r="L249" s="16" t="str">
        <f>IF(G249&lt;&gt;"",IF(G249&lt;Lists!$L$11,"Early","On Time"),"")</f>
        <v>On Time</v>
      </c>
      <c r="M249" s="9" t="str">
        <f t="shared" si="7"/>
        <v>P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</row>
    <row r="250" spans="1:45" x14ac:dyDescent="0.3">
      <c r="A250" s="18">
        <v>46259</v>
      </c>
      <c r="B250" s="9" t="s">
        <v>543</v>
      </c>
      <c r="C250" s="9" t="str">
        <f>IFERROR(INDEX('Employee Master'!$B$10:$B$109,MATCH(B250,'Employee Master'!$A$10:$A$109,0)),"")</f>
        <v/>
      </c>
      <c r="D250" s="9" t="str">
        <f>IFERROR(INDEX('Employee Master'!$H$10:$H$109,MATCH(B250,'Employee Master'!$A$10:$A$109,0)),"")</f>
        <v/>
      </c>
      <c r="E250" s="16" t="s">
        <v>42</v>
      </c>
      <c r="F250" s="19">
        <v>0.39236111111111099</v>
      </c>
      <c r="G250" s="19">
        <v>0.75</v>
      </c>
      <c r="H250" s="16">
        <v>0</v>
      </c>
      <c r="I250" s="9"/>
      <c r="J250" s="16">
        <f t="shared" si="6"/>
        <v>8.58</v>
      </c>
      <c r="K250" s="16" t="str">
        <f>IF(F250&lt;&gt;"",IF(F250&gt;Lists!$L$10,"Late","On Time"),"")</f>
        <v>On Time</v>
      </c>
      <c r="L250" s="16" t="str">
        <f>IF(G250&lt;&gt;"",IF(G250&lt;Lists!$L$11,"Early","On Time"),"")</f>
        <v>On Time</v>
      </c>
      <c r="M250" s="9" t="str">
        <f t="shared" si="7"/>
        <v>P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</row>
    <row r="251" spans="1:45" x14ac:dyDescent="0.3">
      <c r="A251" s="18">
        <v>46259</v>
      </c>
      <c r="B251" s="9" t="s">
        <v>544</v>
      </c>
      <c r="C251" s="9" t="str">
        <f>IFERROR(INDEX('Employee Master'!$B$10:$B$109,MATCH(B251,'Employee Master'!$A$10:$A$109,0)),"")</f>
        <v/>
      </c>
      <c r="D251" s="9" t="str">
        <f>IFERROR(INDEX('Employee Master'!$H$10:$H$109,MATCH(B251,'Employee Master'!$A$10:$A$109,0)),"")</f>
        <v/>
      </c>
      <c r="E251" s="16" t="s">
        <v>42</v>
      </c>
      <c r="F251" s="19">
        <v>0.39236111111111099</v>
      </c>
      <c r="G251" s="19">
        <v>0.75347222222222199</v>
      </c>
      <c r="H251" s="16">
        <v>0</v>
      </c>
      <c r="I251" s="9"/>
      <c r="J251" s="16">
        <f t="shared" si="6"/>
        <v>8.67</v>
      </c>
      <c r="K251" s="16" t="str">
        <f>IF(F251&lt;&gt;"",IF(F251&gt;Lists!$L$10,"Late","On Time"),"")</f>
        <v>On Time</v>
      </c>
      <c r="L251" s="16" t="str">
        <f>IF(G251&lt;&gt;"",IF(G251&lt;Lists!$L$11,"Early","On Time"),"")</f>
        <v>On Time</v>
      </c>
      <c r="M251" s="9" t="str">
        <f t="shared" si="7"/>
        <v>P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</row>
    <row r="252" spans="1:45" x14ac:dyDescent="0.3">
      <c r="A252" s="18">
        <v>46259</v>
      </c>
      <c r="B252" s="9" t="s">
        <v>545</v>
      </c>
      <c r="C252" s="9" t="str">
        <f>IFERROR(INDEX('Employee Master'!$B$10:$B$109,MATCH(B252,'Employee Master'!$A$10:$A$109,0)),"")</f>
        <v/>
      </c>
      <c r="D252" s="9" t="str">
        <f>IFERROR(INDEX('Employee Master'!$H$10:$H$109,MATCH(B252,'Employee Master'!$A$10:$A$109,0)),"")</f>
        <v/>
      </c>
      <c r="E252" s="16" t="s">
        <v>42</v>
      </c>
      <c r="F252" s="19">
        <v>0.38194444444444398</v>
      </c>
      <c r="G252" s="19">
        <v>0.76388888888888895</v>
      </c>
      <c r="H252" s="16">
        <v>0</v>
      </c>
      <c r="I252" s="9"/>
      <c r="J252" s="16">
        <f t="shared" si="6"/>
        <v>9.17</v>
      </c>
      <c r="K252" s="16" t="str">
        <f>IF(F252&lt;&gt;"",IF(F252&gt;Lists!$L$10,"Late","On Time"),"")</f>
        <v>On Time</v>
      </c>
      <c r="L252" s="16" t="str">
        <f>IF(G252&lt;&gt;"",IF(G252&lt;Lists!$L$11,"Early","On Time"),"")</f>
        <v>On Time</v>
      </c>
      <c r="M252" s="9" t="str">
        <f t="shared" si="7"/>
        <v>P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</row>
    <row r="253" spans="1:45" x14ac:dyDescent="0.3">
      <c r="A253" s="18">
        <v>46259</v>
      </c>
      <c r="B253" s="9" t="s">
        <v>546</v>
      </c>
      <c r="C253" s="9" t="str">
        <f>IFERROR(INDEX('Employee Master'!$B$10:$B$109,MATCH(B253,'Employee Master'!$A$10:$A$109,0)),"")</f>
        <v/>
      </c>
      <c r="D253" s="9" t="str">
        <f>IFERROR(INDEX('Employee Master'!$H$10:$H$109,MATCH(B253,'Employee Master'!$A$10:$A$109,0)),"")</f>
        <v/>
      </c>
      <c r="E253" s="16" t="s">
        <v>46</v>
      </c>
      <c r="F253" s="19"/>
      <c r="G253" s="19"/>
      <c r="H253" s="16">
        <v>0</v>
      </c>
      <c r="I253" s="9"/>
      <c r="J253" s="16" t="str">
        <f t="shared" si="6"/>
        <v/>
      </c>
      <c r="K253" s="16" t="str">
        <f>IF(F253&lt;&gt;"",IF(F253&gt;Lists!$L$10,"Late","On Time"),"")</f>
        <v/>
      </c>
      <c r="L253" s="16" t="str">
        <f>IF(G253&lt;&gt;"",IF(G253&lt;Lists!$L$11,"Early","On Time"),"")</f>
        <v/>
      </c>
      <c r="M253" s="9" t="str">
        <f t="shared" si="7"/>
        <v>WO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</row>
    <row r="254" spans="1:45" x14ac:dyDescent="0.3">
      <c r="A254" s="18">
        <v>46259</v>
      </c>
      <c r="B254" s="9" t="s">
        <v>547</v>
      </c>
      <c r="C254" s="9" t="str">
        <f>IFERROR(INDEX('Employee Master'!$B$10:$B$109,MATCH(B254,'Employee Master'!$A$10:$A$109,0)),"")</f>
        <v/>
      </c>
      <c r="D254" s="9" t="str">
        <f>IFERROR(INDEX('Employee Master'!$H$10:$H$109,MATCH(B254,'Employee Master'!$A$10:$A$109,0)),"")</f>
        <v/>
      </c>
      <c r="E254" s="16" t="s">
        <v>44</v>
      </c>
      <c r="F254" s="19"/>
      <c r="G254" s="19"/>
      <c r="H254" s="16">
        <v>0</v>
      </c>
      <c r="I254" s="9"/>
      <c r="J254" s="16" t="str">
        <f t="shared" si="6"/>
        <v/>
      </c>
      <c r="K254" s="16" t="str">
        <f>IF(F254&lt;&gt;"",IF(F254&gt;Lists!$L$10,"Late","On Time"),"")</f>
        <v/>
      </c>
      <c r="L254" s="16" t="str">
        <f>IF(G254&lt;&gt;"",IF(G254&lt;Lists!$L$11,"Early","On Time"),"")</f>
        <v/>
      </c>
      <c r="M254" s="9" t="str">
        <f t="shared" si="7"/>
        <v>A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</row>
    <row r="255" spans="1:45" x14ac:dyDescent="0.3">
      <c r="A255" s="18">
        <v>46259</v>
      </c>
      <c r="B255" s="9" t="s">
        <v>548</v>
      </c>
      <c r="C255" s="9" t="str">
        <f>IFERROR(INDEX('Employee Master'!$B$10:$B$109,MATCH(B255,'Employee Master'!$A$10:$A$109,0)),"")</f>
        <v/>
      </c>
      <c r="D255" s="9" t="str">
        <f>IFERROR(INDEX('Employee Master'!$H$10:$H$109,MATCH(B255,'Employee Master'!$A$10:$A$109,0)),"")</f>
        <v/>
      </c>
      <c r="E255" s="16" t="s">
        <v>42</v>
      </c>
      <c r="F255" s="19">
        <v>0.38194444444444398</v>
      </c>
      <c r="G255" s="19">
        <v>0.75694444444444398</v>
      </c>
      <c r="H255" s="16">
        <v>0</v>
      </c>
      <c r="I255" s="9"/>
      <c r="J255" s="16">
        <f t="shared" si="6"/>
        <v>9</v>
      </c>
      <c r="K255" s="16" t="str">
        <f>IF(F255&lt;&gt;"",IF(F255&gt;Lists!$L$10,"Late","On Time"),"")</f>
        <v>On Time</v>
      </c>
      <c r="L255" s="16" t="str">
        <f>IF(G255&lt;&gt;"",IF(G255&lt;Lists!$L$11,"Early","On Time"),"")</f>
        <v>On Time</v>
      </c>
      <c r="M255" s="9" t="str">
        <f t="shared" si="7"/>
        <v>P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</row>
    <row r="256" spans="1:45" x14ac:dyDescent="0.3">
      <c r="A256" s="18">
        <v>46259</v>
      </c>
      <c r="B256" s="9" t="s">
        <v>549</v>
      </c>
      <c r="C256" s="9" t="str">
        <f>IFERROR(INDEX('Employee Master'!$B$10:$B$109,MATCH(B256,'Employee Master'!$A$10:$A$109,0)),"")</f>
        <v/>
      </c>
      <c r="D256" s="9" t="str">
        <f>IFERROR(INDEX('Employee Master'!$H$10:$H$109,MATCH(B256,'Employee Master'!$A$10:$A$109,0)),"")</f>
        <v/>
      </c>
      <c r="E256" s="16" t="s">
        <v>42</v>
      </c>
      <c r="F256" s="19">
        <v>0.37847222222222199</v>
      </c>
      <c r="G256" s="19">
        <v>0.75</v>
      </c>
      <c r="H256" s="16">
        <v>1</v>
      </c>
      <c r="I256" s="9"/>
      <c r="J256" s="16">
        <f t="shared" si="6"/>
        <v>8.92</v>
      </c>
      <c r="K256" s="16" t="str">
        <f>IF(F256&lt;&gt;"",IF(F256&gt;Lists!$L$10,"Late","On Time"),"")</f>
        <v>On Time</v>
      </c>
      <c r="L256" s="16" t="str">
        <f>IF(G256&lt;&gt;"",IF(G256&lt;Lists!$L$11,"Early","On Time"),"")</f>
        <v>On Time</v>
      </c>
      <c r="M256" s="9" t="str">
        <f t="shared" si="7"/>
        <v>P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</row>
    <row r="257" spans="1:45" x14ac:dyDescent="0.3">
      <c r="A257" s="18">
        <v>46259</v>
      </c>
      <c r="B257" s="9" t="s">
        <v>550</v>
      </c>
      <c r="C257" s="9" t="str">
        <f>IFERROR(INDEX('Employee Master'!$B$10:$B$109,MATCH(B257,'Employee Master'!$A$10:$A$109,0)),"")</f>
        <v/>
      </c>
      <c r="D257" s="9" t="str">
        <f>IFERROR(INDEX('Employee Master'!$H$10:$H$109,MATCH(B257,'Employee Master'!$A$10:$A$109,0)),"")</f>
        <v/>
      </c>
      <c r="E257" s="16" t="s">
        <v>42</v>
      </c>
      <c r="F257" s="19">
        <v>0.39236111111111099</v>
      </c>
      <c r="G257" s="19">
        <v>0.75</v>
      </c>
      <c r="H257" s="16">
        <v>3</v>
      </c>
      <c r="I257" s="9"/>
      <c r="J257" s="16">
        <f t="shared" si="6"/>
        <v>8.58</v>
      </c>
      <c r="K257" s="16" t="str">
        <f>IF(F257&lt;&gt;"",IF(F257&gt;Lists!$L$10,"Late","On Time"),"")</f>
        <v>On Time</v>
      </c>
      <c r="L257" s="16" t="str">
        <f>IF(G257&lt;&gt;"",IF(G257&lt;Lists!$L$11,"Early","On Time"),"")</f>
        <v>On Time</v>
      </c>
      <c r="M257" s="9" t="str">
        <f t="shared" si="7"/>
        <v>P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</row>
    <row r="258" spans="1:45" x14ac:dyDescent="0.3">
      <c r="A258" s="18">
        <v>46259</v>
      </c>
      <c r="B258" s="9" t="s">
        <v>551</v>
      </c>
      <c r="C258" s="9" t="str">
        <f>IFERROR(INDEX('Employee Master'!$B$10:$B$109,MATCH(B258,'Employee Master'!$A$10:$A$109,0)),"")</f>
        <v/>
      </c>
      <c r="D258" s="9" t="str">
        <f>IFERROR(INDEX('Employee Master'!$H$10:$H$109,MATCH(B258,'Employee Master'!$A$10:$A$109,0)),"")</f>
        <v/>
      </c>
      <c r="E258" s="16" t="s">
        <v>42</v>
      </c>
      <c r="F258" s="19">
        <v>0.38194444444444398</v>
      </c>
      <c r="G258" s="19">
        <v>0.77430555555555602</v>
      </c>
      <c r="H258" s="16">
        <v>0</v>
      </c>
      <c r="I258" s="9"/>
      <c r="J258" s="16">
        <f t="shared" si="6"/>
        <v>9.42</v>
      </c>
      <c r="K258" s="16" t="str">
        <f>IF(F258&lt;&gt;"",IF(F258&gt;Lists!$L$10,"Late","On Time"),"")</f>
        <v>On Time</v>
      </c>
      <c r="L258" s="16" t="str">
        <f>IF(G258&lt;&gt;"",IF(G258&lt;Lists!$L$11,"Early","On Time"),"")</f>
        <v>On Time</v>
      </c>
      <c r="M258" s="9" t="str">
        <f t="shared" si="7"/>
        <v>P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</row>
    <row r="259" spans="1:45" x14ac:dyDescent="0.3">
      <c r="A259" s="18">
        <v>46259</v>
      </c>
      <c r="B259" s="9" t="s">
        <v>552</v>
      </c>
      <c r="C259" s="9" t="str">
        <f>IFERROR(INDEX('Employee Master'!$B$10:$B$109,MATCH(B259,'Employee Master'!$A$10:$A$109,0)),"")</f>
        <v/>
      </c>
      <c r="D259" s="9" t="str">
        <f>IFERROR(INDEX('Employee Master'!$H$10:$H$109,MATCH(B259,'Employee Master'!$A$10:$A$109,0)),"")</f>
        <v/>
      </c>
      <c r="E259" s="16" t="s">
        <v>46</v>
      </c>
      <c r="F259" s="19"/>
      <c r="G259" s="19"/>
      <c r="H259" s="16">
        <v>0</v>
      </c>
      <c r="I259" s="9"/>
      <c r="J259" s="16" t="str">
        <f t="shared" si="6"/>
        <v/>
      </c>
      <c r="K259" s="16" t="str">
        <f>IF(F259&lt;&gt;"",IF(F259&gt;Lists!$L$10,"Late","On Time"),"")</f>
        <v/>
      </c>
      <c r="L259" s="16" t="str">
        <f>IF(G259&lt;&gt;"",IF(G259&lt;Lists!$L$11,"Early","On Time"),"")</f>
        <v/>
      </c>
      <c r="M259" s="9" t="str">
        <f t="shared" si="7"/>
        <v>WO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45" x14ac:dyDescent="0.3">
      <c r="A260" s="18">
        <v>46259</v>
      </c>
      <c r="B260" s="9" t="s">
        <v>553</v>
      </c>
      <c r="C260" s="9" t="str">
        <f>IFERROR(INDEX('Employee Master'!$B$10:$B$109,MATCH(B260,'Employee Master'!$A$10:$A$109,0)),"")</f>
        <v/>
      </c>
      <c r="D260" s="9" t="str">
        <f>IFERROR(INDEX('Employee Master'!$H$10:$H$109,MATCH(B260,'Employee Master'!$A$10:$A$109,0)),"")</f>
        <v/>
      </c>
      <c r="E260" s="16" t="s">
        <v>48</v>
      </c>
      <c r="F260" s="19">
        <v>0.38194444444444398</v>
      </c>
      <c r="G260" s="19">
        <v>0.5625</v>
      </c>
      <c r="H260" s="16">
        <v>0</v>
      </c>
      <c r="I260" s="9"/>
      <c r="J260" s="16">
        <f t="shared" si="6"/>
        <v>4.33</v>
      </c>
      <c r="K260" s="16" t="str">
        <f>IF(F260&lt;&gt;"",IF(F260&gt;Lists!$L$10,"Late","On Time"),"")</f>
        <v>On Time</v>
      </c>
      <c r="L260" s="16" t="str">
        <f>IF(G260&lt;&gt;"",IF(G260&lt;Lists!$L$11,"Early","On Time"),"")</f>
        <v>Early</v>
      </c>
      <c r="M260" s="9" t="str">
        <f t="shared" si="7"/>
        <v>HD +Early Exit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</row>
    <row r="261" spans="1:45" x14ac:dyDescent="0.3">
      <c r="A261" s="18">
        <v>46259</v>
      </c>
      <c r="B261" s="9" t="s">
        <v>554</v>
      </c>
      <c r="C261" s="9" t="str">
        <f>IFERROR(INDEX('Employee Master'!$B$10:$B$109,MATCH(B261,'Employee Master'!$A$10:$A$109,0)),"")</f>
        <v/>
      </c>
      <c r="D261" s="9" t="str">
        <f>IFERROR(INDEX('Employee Master'!$H$10:$H$109,MATCH(B261,'Employee Master'!$A$10:$A$109,0)),"")</f>
        <v/>
      </c>
      <c r="E261" s="16" t="s">
        <v>42</v>
      </c>
      <c r="F261" s="19">
        <v>0.42708333333333298</v>
      </c>
      <c r="G261" s="19">
        <v>0.42013888888888901</v>
      </c>
      <c r="H261" s="16">
        <v>1</v>
      </c>
      <c r="I261" s="9"/>
      <c r="J261" s="16">
        <f t="shared" si="6"/>
        <v>-0.17</v>
      </c>
      <c r="K261" s="16" t="str">
        <f>IF(F261&lt;&gt;"",IF(F261&gt;Lists!$L$10,"Late","On Time"),"")</f>
        <v>Late</v>
      </c>
      <c r="L261" s="16" t="str">
        <f>IF(G261&lt;&gt;"",IF(G261&lt;Lists!$L$11,"Early","On Time"),"")</f>
        <v>Early</v>
      </c>
      <c r="M261" s="9" t="str">
        <f t="shared" si="7"/>
        <v>P +Late +Early Exit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</row>
    <row r="262" spans="1:45" x14ac:dyDescent="0.3">
      <c r="A262" s="18">
        <v>46259</v>
      </c>
      <c r="B262" s="9" t="s">
        <v>555</v>
      </c>
      <c r="C262" s="9" t="str">
        <f>IFERROR(INDEX('Employee Master'!$B$10:$B$109,MATCH(B262,'Employee Master'!$A$10:$A$109,0)),"")</f>
        <v/>
      </c>
      <c r="D262" s="9" t="str">
        <f>IFERROR(INDEX('Employee Master'!$H$10:$H$109,MATCH(B262,'Employee Master'!$A$10:$A$109,0)),"")</f>
        <v/>
      </c>
      <c r="E262" s="16" t="s">
        <v>42</v>
      </c>
      <c r="F262" s="19">
        <v>0.39236111111111099</v>
      </c>
      <c r="G262" s="19">
        <v>0.75347222222222199</v>
      </c>
      <c r="H262" s="16">
        <v>0</v>
      </c>
      <c r="I262" s="9"/>
      <c r="J262" s="16">
        <f t="shared" si="6"/>
        <v>8.67</v>
      </c>
      <c r="K262" s="16" t="str">
        <f>IF(F262&lt;&gt;"",IF(F262&gt;Lists!$L$10,"Late","On Time"),"")</f>
        <v>On Time</v>
      </c>
      <c r="L262" s="16" t="str">
        <f>IF(G262&lt;&gt;"",IF(G262&lt;Lists!$L$11,"Early","On Time"),"")</f>
        <v>On Time</v>
      </c>
      <c r="M262" s="9" t="str">
        <f t="shared" si="7"/>
        <v>P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</row>
    <row r="263" spans="1:45" x14ac:dyDescent="0.3">
      <c r="A263" s="18">
        <v>46259</v>
      </c>
      <c r="B263" s="9" t="s">
        <v>556</v>
      </c>
      <c r="C263" s="9" t="str">
        <f>IFERROR(INDEX('Employee Master'!$B$10:$B$109,MATCH(B263,'Employee Master'!$A$10:$A$109,0)),"")</f>
        <v/>
      </c>
      <c r="D263" s="9" t="str">
        <f>IFERROR(INDEX('Employee Master'!$H$10:$H$109,MATCH(B263,'Employee Master'!$A$10:$A$109,0)),"")</f>
        <v/>
      </c>
      <c r="E263" s="16" t="s">
        <v>42</v>
      </c>
      <c r="F263" s="19">
        <v>0.38541666666666702</v>
      </c>
      <c r="G263" s="19">
        <v>0.75</v>
      </c>
      <c r="H263" s="16">
        <v>0</v>
      </c>
      <c r="I263" s="9"/>
      <c r="J263" s="16">
        <f t="shared" si="6"/>
        <v>8.75</v>
      </c>
      <c r="K263" s="16" t="str">
        <f>IF(F263&lt;&gt;"",IF(F263&gt;Lists!$L$10,"Late","On Time"),"")</f>
        <v>On Time</v>
      </c>
      <c r="L263" s="16" t="str">
        <f>IF(G263&lt;&gt;"",IF(G263&lt;Lists!$L$11,"Early","On Time"),"")</f>
        <v>On Time</v>
      </c>
      <c r="M263" s="9" t="str">
        <f t="shared" si="7"/>
        <v>P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</row>
    <row r="264" spans="1:45" x14ac:dyDescent="0.3">
      <c r="A264" s="18">
        <v>46259</v>
      </c>
      <c r="B264" s="9" t="s">
        <v>557</v>
      </c>
      <c r="C264" s="9" t="str">
        <f>IFERROR(INDEX('Employee Master'!$B$10:$B$109,MATCH(B264,'Employee Master'!$A$10:$A$109,0)),"")</f>
        <v/>
      </c>
      <c r="D264" s="9" t="str">
        <f>IFERROR(INDEX('Employee Master'!$H$10:$H$109,MATCH(B264,'Employee Master'!$A$10:$A$109,0)),"")</f>
        <v/>
      </c>
      <c r="E264" s="16" t="s">
        <v>42</v>
      </c>
      <c r="F264" s="19">
        <v>0.37847222222222199</v>
      </c>
      <c r="G264" s="19">
        <v>0.75694444444444398</v>
      </c>
      <c r="H264" s="16">
        <v>0</v>
      </c>
      <c r="I264" s="9"/>
      <c r="J264" s="16">
        <f t="shared" si="6"/>
        <v>9.08</v>
      </c>
      <c r="K264" s="16" t="str">
        <f>IF(F264&lt;&gt;"",IF(F264&gt;Lists!$L$10,"Late","On Time"),"")</f>
        <v>On Time</v>
      </c>
      <c r="L264" s="16" t="str">
        <f>IF(G264&lt;&gt;"",IF(G264&lt;Lists!$L$11,"Early","On Time"),"")</f>
        <v>On Time</v>
      </c>
      <c r="M264" s="9" t="str">
        <f t="shared" si="7"/>
        <v>P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</row>
    <row r="265" spans="1:45" x14ac:dyDescent="0.3">
      <c r="A265" s="18">
        <v>46259</v>
      </c>
      <c r="B265" s="9" t="s">
        <v>558</v>
      </c>
      <c r="C265" s="9" t="str">
        <f>IFERROR(INDEX('Employee Master'!$B$10:$B$109,MATCH(B265,'Employee Master'!$A$10:$A$109,0)),"")</f>
        <v/>
      </c>
      <c r="D265" s="9" t="str">
        <f>IFERROR(INDEX('Employee Master'!$H$10:$H$109,MATCH(B265,'Employee Master'!$A$10:$A$109,0)),"")</f>
        <v/>
      </c>
      <c r="E265" s="16" t="s">
        <v>42</v>
      </c>
      <c r="F265" s="19">
        <v>0.390277777777778</v>
      </c>
      <c r="G265" s="19">
        <v>0.77430555555555602</v>
      </c>
      <c r="H265" s="16">
        <v>0</v>
      </c>
      <c r="I265" s="9"/>
      <c r="J265" s="16">
        <f t="shared" si="6"/>
        <v>9.2200000000000006</v>
      </c>
      <c r="K265" s="16" t="str">
        <f>IF(F265&lt;&gt;"",IF(F265&gt;Lists!$L$10,"Late","On Time"),"")</f>
        <v>On Time</v>
      </c>
      <c r="L265" s="16" t="str">
        <f>IF(G265&lt;&gt;"",IF(G265&lt;Lists!$L$11,"Early","On Time"),"")</f>
        <v>On Time</v>
      </c>
      <c r="M265" s="9" t="str">
        <f t="shared" si="7"/>
        <v>P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</row>
    <row r="266" spans="1:45" x14ac:dyDescent="0.3">
      <c r="A266" s="18">
        <v>46259</v>
      </c>
      <c r="B266" s="9" t="s">
        <v>559</v>
      </c>
      <c r="C266" s="9" t="str">
        <f>IFERROR(INDEX('Employee Master'!$B$10:$B$109,MATCH(B266,'Employee Master'!$A$10:$A$109,0)),"")</f>
        <v/>
      </c>
      <c r="D266" s="9" t="str">
        <f>IFERROR(INDEX('Employee Master'!$H$10:$H$109,MATCH(B266,'Employee Master'!$A$10:$A$109,0)),"")</f>
        <v/>
      </c>
      <c r="E266" s="16" t="s">
        <v>42</v>
      </c>
      <c r="F266" s="19">
        <v>0.39236111111111099</v>
      </c>
      <c r="G266" s="19">
        <v>0.75</v>
      </c>
      <c r="H266" s="16">
        <v>0</v>
      </c>
      <c r="I266" s="9"/>
      <c r="J266" s="16">
        <f t="shared" ref="J266:J329" si="8">IF(AND(F266&lt;&gt;"",G266&lt;&gt;""),ROUND((G266-F266)*24,2),"")</f>
        <v>8.58</v>
      </c>
      <c r="K266" s="16" t="str">
        <f>IF(F266&lt;&gt;"",IF(F266&gt;Lists!$L$10,"Late","On Time"),"")</f>
        <v>On Time</v>
      </c>
      <c r="L266" s="16" t="str">
        <f>IF(G266&lt;&gt;"",IF(G266&lt;Lists!$L$11,"Early","On Time"),"")</f>
        <v>On Time</v>
      </c>
      <c r="M266" s="9" t="str">
        <f t="shared" ref="M266:M329" si="9">IF(E266="","",E266&amp;IF(K266="Late"," +Late","")&amp;IF(L266="Early"," +Early Exit",""))</f>
        <v>P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</row>
    <row r="267" spans="1:45" x14ac:dyDescent="0.3">
      <c r="A267" s="18">
        <v>46259</v>
      </c>
      <c r="B267" s="9" t="s">
        <v>560</v>
      </c>
      <c r="C267" s="9" t="str">
        <f>IFERROR(INDEX('Employee Master'!$B$10:$B$109,MATCH(B267,'Employee Master'!$A$10:$A$109,0)),"")</f>
        <v/>
      </c>
      <c r="D267" s="9" t="str">
        <f>IFERROR(INDEX('Employee Master'!$H$10:$H$109,MATCH(B267,'Employee Master'!$A$10:$A$109,0)),"")</f>
        <v/>
      </c>
      <c r="E267" s="16" t="s">
        <v>44</v>
      </c>
      <c r="F267" s="19"/>
      <c r="G267" s="19"/>
      <c r="H267" s="16">
        <v>0</v>
      </c>
      <c r="I267" s="9"/>
      <c r="J267" s="16" t="str">
        <f t="shared" si="8"/>
        <v/>
      </c>
      <c r="K267" s="16" t="str">
        <f>IF(F267&lt;&gt;"",IF(F267&gt;Lists!$L$10,"Late","On Time"),"")</f>
        <v/>
      </c>
      <c r="L267" s="16" t="str">
        <f>IF(G267&lt;&gt;"",IF(G267&lt;Lists!$L$11,"Early","On Time"),"")</f>
        <v/>
      </c>
      <c r="M267" s="9" t="str">
        <f t="shared" si="9"/>
        <v>A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</row>
    <row r="268" spans="1:45" x14ac:dyDescent="0.3">
      <c r="A268" s="18">
        <v>46259</v>
      </c>
      <c r="B268" s="9" t="s">
        <v>561</v>
      </c>
      <c r="C268" s="9" t="str">
        <f>IFERROR(INDEX('Employee Master'!$B$10:$B$109,MATCH(B268,'Employee Master'!$A$10:$A$109,0)),"")</f>
        <v/>
      </c>
      <c r="D268" s="9" t="str">
        <f>IFERROR(INDEX('Employee Master'!$H$10:$H$109,MATCH(B268,'Employee Master'!$A$10:$A$109,0)),"")</f>
        <v/>
      </c>
      <c r="E268" s="16" t="s">
        <v>42</v>
      </c>
      <c r="F268" s="19">
        <v>0.39236111111111099</v>
      </c>
      <c r="G268" s="19">
        <v>0.75</v>
      </c>
      <c r="H268" s="16">
        <v>0</v>
      </c>
      <c r="I268" s="9"/>
      <c r="J268" s="16">
        <f t="shared" si="8"/>
        <v>8.58</v>
      </c>
      <c r="K268" s="16" t="str">
        <f>IF(F268&lt;&gt;"",IF(F268&gt;Lists!$L$10,"Late","On Time"),"")</f>
        <v>On Time</v>
      </c>
      <c r="L268" s="16" t="str">
        <f>IF(G268&lt;&gt;"",IF(G268&lt;Lists!$L$11,"Early","On Time"),"")</f>
        <v>On Time</v>
      </c>
      <c r="M268" s="9" t="str">
        <f t="shared" si="9"/>
        <v>P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</row>
    <row r="269" spans="1:45" x14ac:dyDescent="0.3">
      <c r="A269" s="18">
        <v>46259</v>
      </c>
      <c r="B269" s="9" t="s">
        <v>562</v>
      </c>
      <c r="C269" s="9" t="str">
        <f>IFERROR(INDEX('Employee Master'!$B$10:$B$109,MATCH(B269,'Employee Master'!$A$10:$A$109,0)),"")</f>
        <v/>
      </c>
      <c r="D269" s="9" t="str">
        <f>IFERROR(INDEX('Employee Master'!$H$10:$H$109,MATCH(B269,'Employee Master'!$A$10:$A$109,0)),"")</f>
        <v/>
      </c>
      <c r="E269" s="16" t="s">
        <v>42</v>
      </c>
      <c r="F269" s="19">
        <v>0.37847222222222199</v>
      </c>
      <c r="G269" s="19">
        <v>0.77430555555555602</v>
      </c>
      <c r="H269" s="16">
        <v>0</v>
      </c>
      <c r="I269" s="9"/>
      <c r="J269" s="16">
        <f t="shared" si="8"/>
        <v>9.5</v>
      </c>
      <c r="K269" s="16" t="str">
        <f>IF(F269&lt;&gt;"",IF(F269&gt;Lists!$L$10,"Late","On Time"),"")</f>
        <v>On Time</v>
      </c>
      <c r="L269" s="16" t="str">
        <f>IF(G269&lt;&gt;"",IF(G269&lt;Lists!$L$11,"Early","On Time"),"")</f>
        <v>On Time</v>
      </c>
      <c r="M269" s="9" t="str">
        <f t="shared" si="9"/>
        <v>P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</row>
    <row r="270" spans="1:45" x14ac:dyDescent="0.3">
      <c r="A270" s="18">
        <v>46259</v>
      </c>
      <c r="B270" s="9" t="s">
        <v>563</v>
      </c>
      <c r="C270" s="9" t="str">
        <f>IFERROR(INDEX('Employee Master'!$B$10:$B$109,MATCH(B270,'Employee Master'!$A$10:$A$109,0)),"")</f>
        <v/>
      </c>
      <c r="D270" s="9" t="str">
        <f>IFERROR(INDEX('Employee Master'!$H$10:$H$109,MATCH(B270,'Employee Master'!$A$10:$A$109,0)),"")</f>
        <v/>
      </c>
      <c r="E270" s="16" t="s">
        <v>42</v>
      </c>
      <c r="F270" s="19">
        <v>0.37847222222222199</v>
      </c>
      <c r="G270" s="19">
        <v>0.77430555555555602</v>
      </c>
      <c r="H270" s="16">
        <v>0</v>
      </c>
      <c r="I270" s="9"/>
      <c r="J270" s="16">
        <f t="shared" si="8"/>
        <v>9.5</v>
      </c>
      <c r="K270" s="16" t="str">
        <f>IF(F270&lt;&gt;"",IF(F270&gt;Lists!$L$10,"Late","On Time"),"")</f>
        <v>On Time</v>
      </c>
      <c r="L270" s="16" t="str">
        <f>IF(G270&lt;&gt;"",IF(G270&lt;Lists!$L$11,"Early","On Time"),"")</f>
        <v>On Time</v>
      </c>
      <c r="M270" s="9" t="str">
        <f t="shared" si="9"/>
        <v>P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</row>
    <row r="271" spans="1:45" x14ac:dyDescent="0.3">
      <c r="A271" s="18">
        <v>46259</v>
      </c>
      <c r="B271" s="9" t="s">
        <v>564</v>
      </c>
      <c r="C271" s="9" t="str">
        <f>IFERROR(INDEX('Employee Master'!$B$10:$B$109,MATCH(B271,'Employee Master'!$A$10:$A$109,0)),"")</f>
        <v/>
      </c>
      <c r="D271" s="9" t="str">
        <f>IFERROR(INDEX('Employee Master'!$H$10:$H$109,MATCH(B271,'Employee Master'!$A$10:$A$109,0)),"")</f>
        <v/>
      </c>
      <c r="E271" s="16" t="s">
        <v>42</v>
      </c>
      <c r="F271" s="19">
        <v>0.37847222222222199</v>
      </c>
      <c r="G271" s="19">
        <v>0.75</v>
      </c>
      <c r="H271" s="16">
        <v>0</v>
      </c>
      <c r="I271" s="9"/>
      <c r="J271" s="16">
        <f t="shared" si="8"/>
        <v>8.92</v>
      </c>
      <c r="K271" s="16" t="str">
        <f>IF(F271&lt;&gt;"",IF(F271&gt;Lists!$L$10,"Late","On Time"),"")</f>
        <v>On Time</v>
      </c>
      <c r="L271" s="16" t="str">
        <f>IF(G271&lt;&gt;"",IF(G271&lt;Lists!$L$11,"Early","On Time"),"")</f>
        <v>On Time</v>
      </c>
      <c r="M271" s="9" t="str">
        <f t="shared" si="9"/>
        <v>P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</row>
    <row r="272" spans="1:45" x14ac:dyDescent="0.3">
      <c r="A272" s="18">
        <v>46259</v>
      </c>
      <c r="B272" s="9" t="s">
        <v>565</v>
      </c>
      <c r="C272" s="9" t="str">
        <f>IFERROR(INDEX('Employee Master'!$B$10:$B$109,MATCH(B272,'Employee Master'!$A$10:$A$109,0)),"")</f>
        <v/>
      </c>
      <c r="D272" s="9" t="str">
        <f>IFERROR(INDEX('Employee Master'!$H$10:$H$109,MATCH(B272,'Employee Master'!$A$10:$A$109,0)),"")</f>
        <v/>
      </c>
      <c r="E272" s="16" t="s">
        <v>48</v>
      </c>
      <c r="F272" s="19">
        <v>0.39236111111111099</v>
      </c>
      <c r="G272" s="19">
        <v>0.5625</v>
      </c>
      <c r="H272" s="16">
        <v>0</v>
      </c>
      <c r="I272" s="9"/>
      <c r="J272" s="16">
        <f t="shared" si="8"/>
        <v>4.08</v>
      </c>
      <c r="K272" s="16" t="str">
        <f>IF(F272&lt;&gt;"",IF(F272&gt;Lists!$L$10,"Late","On Time"),"")</f>
        <v>On Time</v>
      </c>
      <c r="L272" s="16" t="str">
        <f>IF(G272&lt;&gt;"",IF(G272&lt;Lists!$L$11,"Early","On Time"),"")</f>
        <v>Early</v>
      </c>
      <c r="M272" s="9" t="str">
        <f t="shared" si="9"/>
        <v>HD +Early Exit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</row>
    <row r="273" spans="1:45" x14ac:dyDescent="0.3">
      <c r="A273" s="18">
        <v>46259</v>
      </c>
      <c r="B273" s="9" t="s">
        <v>566</v>
      </c>
      <c r="C273" s="9" t="str">
        <f>IFERROR(INDEX('Employee Master'!$B$10:$B$109,MATCH(B273,'Employee Master'!$A$10:$A$109,0)),"")</f>
        <v/>
      </c>
      <c r="D273" s="9" t="str">
        <f>IFERROR(INDEX('Employee Master'!$H$10:$H$109,MATCH(B273,'Employee Master'!$A$10:$A$109,0)),"")</f>
        <v/>
      </c>
      <c r="E273" s="16" t="s">
        <v>42</v>
      </c>
      <c r="F273" s="19">
        <v>0.390277777777778</v>
      </c>
      <c r="G273" s="19">
        <v>0.75694444444444398</v>
      </c>
      <c r="H273" s="16">
        <v>0</v>
      </c>
      <c r="I273" s="9"/>
      <c r="J273" s="16">
        <f t="shared" si="8"/>
        <v>8.8000000000000007</v>
      </c>
      <c r="K273" s="16" t="str">
        <f>IF(F273&lt;&gt;"",IF(F273&gt;Lists!$L$10,"Late","On Time"),"")</f>
        <v>On Time</v>
      </c>
      <c r="L273" s="16" t="str">
        <f>IF(G273&lt;&gt;"",IF(G273&lt;Lists!$L$11,"Early","On Time"),"")</f>
        <v>On Time</v>
      </c>
      <c r="M273" s="9" t="str">
        <f t="shared" si="9"/>
        <v>P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</row>
    <row r="274" spans="1:45" x14ac:dyDescent="0.3">
      <c r="A274" s="18">
        <v>46259</v>
      </c>
      <c r="B274" s="9" t="s">
        <v>567</v>
      </c>
      <c r="C274" s="9" t="str">
        <f>IFERROR(INDEX('Employee Master'!$B$10:$B$109,MATCH(B274,'Employee Master'!$A$10:$A$109,0)),"")</f>
        <v/>
      </c>
      <c r="D274" s="9" t="str">
        <f>IFERROR(INDEX('Employee Master'!$H$10:$H$109,MATCH(B274,'Employee Master'!$A$10:$A$109,0)),"")</f>
        <v/>
      </c>
      <c r="E274" s="16" t="s">
        <v>42</v>
      </c>
      <c r="F274" s="19">
        <v>0.390277777777778</v>
      </c>
      <c r="G274" s="19">
        <v>0.75347222222222199</v>
      </c>
      <c r="H274" s="16">
        <v>0</v>
      </c>
      <c r="I274" s="9"/>
      <c r="J274" s="16">
        <f t="shared" si="8"/>
        <v>8.7200000000000006</v>
      </c>
      <c r="K274" s="16" t="str">
        <f>IF(F274&lt;&gt;"",IF(F274&gt;Lists!$L$10,"Late","On Time"),"")</f>
        <v>On Time</v>
      </c>
      <c r="L274" s="16" t="str">
        <f>IF(G274&lt;&gt;"",IF(G274&lt;Lists!$L$11,"Early","On Time"),"")</f>
        <v>On Time</v>
      </c>
      <c r="M274" s="9" t="str">
        <f t="shared" si="9"/>
        <v>P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</row>
    <row r="275" spans="1:45" x14ac:dyDescent="0.3">
      <c r="A275" s="18">
        <v>46259</v>
      </c>
      <c r="B275" s="9" t="s">
        <v>568</v>
      </c>
      <c r="C275" s="9" t="str">
        <f>IFERROR(INDEX('Employee Master'!$B$10:$B$109,MATCH(B275,'Employee Master'!$A$10:$A$109,0)),"")</f>
        <v/>
      </c>
      <c r="D275" s="9" t="str">
        <f>IFERROR(INDEX('Employee Master'!$H$10:$H$109,MATCH(B275,'Employee Master'!$A$10:$A$109,0)),"")</f>
        <v/>
      </c>
      <c r="E275" s="16" t="s">
        <v>42</v>
      </c>
      <c r="F275" s="19">
        <v>0.39236111111111099</v>
      </c>
      <c r="G275" s="19">
        <v>0.75347222222222199</v>
      </c>
      <c r="H275" s="16">
        <v>0</v>
      </c>
      <c r="I275" s="9"/>
      <c r="J275" s="16">
        <f t="shared" si="8"/>
        <v>8.67</v>
      </c>
      <c r="K275" s="16" t="str">
        <f>IF(F275&lt;&gt;"",IF(F275&gt;Lists!$L$10,"Late","On Time"),"")</f>
        <v>On Time</v>
      </c>
      <c r="L275" s="16" t="str">
        <f>IF(G275&lt;&gt;"",IF(G275&lt;Lists!$L$11,"Early","On Time"),"")</f>
        <v>On Time</v>
      </c>
      <c r="M275" s="9" t="str">
        <f t="shared" si="9"/>
        <v>P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</row>
    <row r="276" spans="1:45" x14ac:dyDescent="0.3">
      <c r="A276" s="18">
        <v>46259</v>
      </c>
      <c r="B276" s="9" t="s">
        <v>569</v>
      </c>
      <c r="C276" s="9" t="str">
        <f>IFERROR(INDEX('Employee Master'!$B$10:$B$109,MATCH(B276,'Employee Master'!$A$10:$A$109,0)),"")</f>
        <v/>
      </c>
      <c r="D276" s="9" t="str">
        <f>IFERROR(INDEX('Employee Master'!$H$10:$H$109,MATCH(B276,'Employee Master'!$A$10:$A$109,0)),"")</f>
        <v/>
      </c>
      <c r="E276" s="16" t="s">
        <v>48</v>
      </c>
      <c r="F276" s="19">
        <v>0.39236111111111099</v>
      </c>
      <c r="G276" s="19">
        <v>0.5625</v>
      </c>
      <c r="H276" s="16">
        <v>0</v>
      </c>
      <c r="I276" s="9"/>
      <c r="J276" s="16">
        <f t="shared" si="8"/>
        <v>4.08</v>
      </c>
      <c r="K276" s="16" t="str">
        <f>IF(F276&lt;&gt;"",IF(F276&gt;Lists!$L$10,"Late","On Time"),"")</f>
        <v>On Time</v>
      </c>
      <c r="L276" s="16" t="str">
        <f>IF(G276&lt;&gt;"",IF(G276&lt;Lists!$L$11,"Early","On Time"),"")</f>
        <v>Early</v>
      </c>
      <c r="M276" s="9" t="str">
        <f t="shared" si="9"/>
        <v>HD +Early Exit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</row>
    <row r="277" spans="1:45" x14ac:dyDescent="0.3">
      <c r="A277" s="18">
        <v>46259</v>
      </c>
      <c r="B277" s="9" t="s">
        <v>570</v>
      </c>
      <c r="C277" s="9" t="str">
        <f>IFERROR(INDEX('Employee Master'!$B$10:$B$109,MATCH(B277,'Employee Master'!$A$10:$A$109,0)),"")</f>
        <v/>
      </c>
      <c r="D277" s="9" t="str">
        <f>IFERROR(INDEX('Employee Master'!$H$10:$H$109,MATCH(B277,'Employee Master'!$A$10:$A$109,0)),"")</f>
        <v/>
      </c>
      <c r="E277" s="16" t="s">
        <v>42</v>
      </c>
      <c r="F277" s="19">
        <v>0.39236111111111099</v>
      </c>
      <c r="G277" s="19">
        <v>0.77430555555555602</v>
      </c>
      <c r="H277" s="16">
        <v>0</v>
      </c>
      <c r="I277" s="9"/>
      <c r="J277" s="16">
        <f t="shared" si="8"/>
        <v>9.17</v>
      </c>
      <c r="K277" s="16" t="str">
        <f>IF(F277&lt;&gt;"",IF(F277&gt;Lists!$L$10,"Late","On Time"),"")</f>
        <v>On Time</v>
      </c>
      <c r="L277" s="16" t="str">
        <f>IF(G277&lt;&gt;"",IF(G277&lt;Lists!$L$11,"Early","On Time"),"")</f>
        <v>On Time</v>
      </c>
      <c r="M277" s="9" t="str">
        <f t="shared" si="9"/>
        <v>P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</row>
    <row r="278" spans="1:45" x14ac:dyDescent="0.3">
      <c r="A278" s="18">
        <v>46259</v>
      </c>
      <c r="B278" s="9" t="s">
        <v>571</v>
      </c>
      <c r="C278" s="9" t="str">
        <f>IFERROR(INDEX('Employee Master'!$B$10:$B$109,MATCH(B278,'Employee Master'!$A$10:$A$109,0)),"")</f>
        <v/>
      </c>
      <c r="D278" s="9" t="str">
        <f>IFERROR(INDEX('Employee Master'!$H$10:$H$109,MATCH(B278,'Employee Master'!$A$10:$A$109,0)),"")</f>
        <v/>
      </c>
      <c r="E278" s="16" t="s">
        <v>42</v>
      </c>
      <c r="F278" s="19">
        <v>0.38541666666666702</v>
      </c>
      <c r="G278" s="19">
        <v>0.75</v>
      </c>
      <c r="H278" s="16">
        <v>0</v>
      </c>
      <c r="I278" s="9"/>
      <c r="J278" s="16">
        <f t="shared" si="8"/>
        <v>8.75</v>
      </c>
      <c r="K278" s="16" t="str">
        <f>IF(F278&lt;&gt;"",IF(F278&gt;Lists!$L$10,"Late","On Time"),"")</f>
        <v>On Time</v>
      </c>
      <c r="L278" s="16" t="str">
        <f>IF(G278&lt;&gt;"",IF(G278&lt;Lists!$L$11,"Early","On Time"),"")</f>
        <v>On Time</v>
      </c>
      <c r="M278" s="9" t="str">
        <f t="shared" si="9"/>
        <v>P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</row>
    <row r="279" spans="1:45" x14ac:dyDescent="0.3">
      <c r="A279" s="18">
        <v>46259</v>
      </c>
      <c r="B279" s="9" t="s">
        <v>572</v>
      </c>
      <c r="C279" s="9" t="str">
        <f>IFERROR(INDEX('Employee Master'!$B$10:$B$109,MATCH(B279,'Employee Master'!$A$10:$A$109,0)),"")</f>
        <v/>
      </c>
      <c r="D279" s="9" t="str">
        <f>IFERROR(INDEX('Employee Master'!$H$10:$H$109,MATCH(B279,'Employee Master'!$A$10:$A$109,0)),"")</f>
        <v/>
      </c>
      <c r="E279" s="16" t="s">
        <v>42</v>
      </c>
      <c r="F279" s="19">
        <v>0.39236111111111099</v>
      </c>
      <c r="G279" s="19">
        <v>0.75</v>
      </c>
      <c r="H279" s="16">
        <v>0</v>
      </c>
      <c r="I279" s="9"/>
      <c r="J279" s="16">
        <f t="shared" si="8"/>
        <v>8.58</v>
      </c>
      <c r="K279" s="16" t="str">
        <f>IF(F279&lt;&gt;"",IF(F279&gt;Lists!$L$10,"Late","On Time"),"")</f>
        <v>On Time</v>
      </c>
      <c r="L279" s="16" t="str">
        <f>IF(G279&lt;&gt;"",IF(G279&lt;Lists!$L$11,"Early","On Time"),"")</f>
        <v>On Time</v>
      </c>
      <c r="M279" s="9" t="str">
        <f t="shared" si="9"/>
        <v>P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</row>
    <row r="280" spans="1:45" x14ac:dyDescent="0.3">
      <c r="A280" s="18">
        <v>46259</v>
      </c>
      <c r="B280" s="9" t="s">
        <v>573</v>
      </c>
      <c r="C280" s="9" t="str">
        <f>IFERROR(INDEX('Employee Master'!$B$10:$B$109,MATCH(B280,'Employee Master'!$A$10:$A$109,0)),"")</f>
        <v/>
      </c>
      <c r="D280" s="9" t="str">
        <f>IFERROR(INDEX('Employee Master'!$H$10:$H$109,MATCH(B280,'Employee Master'!$A$10:$A$109,0)),"")</f>
        <v/>
      </c>
      <c r="E280" s="16" t="s">
        <v>42</v>
      </c>
      <c r="F280" s="19">
        <v>0.38541666666666702</v>
      </c>
      <c r="G280" s="19">
        <v>0.75347222222222199</v>
      </c>
      <c r="H280" s="16">
        <v>0</v>
      </c>
      <c r="I280" s="9"/>
      <c r="J280" s="16">
        <f t="shared" si="8"/>
        <v>8.83</v>
      </c>
      <c r="K280" s="16" t="str">
        <f>IF(F280&lt;&gt;"",IF(F280&gt;Lists!$L$10,"Late","On Time"),"")</f>
        <v>On Time</v>
      </c>
      <c r="L280" s="16" t="str">
        <f>IF(G280&lt;&gt;"",IF(G280&lt;Lists!$L$11,"Early","On Time"),"")</f>
        <v>On Time</v>
      </c>
      <c r="M280" s="9" t="str">
        <f t="shared" si="9"/>
        <v>P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</row>
    <row r="281" spans="1:45" x14ac:dyDescent="0.3">
      <c r="A281" s="18">
        <v>46259</v>
      </c>
      <c r="B281" s="9" t="s">
        <v>574</v>
      </c>
      <c r="C281" s="9" t="str">
        <f>IFERROR(INDEX('Employee Master'!$B$10:$B$109,MATCH(B281,'Employee Master'!$A$10:$A$109,0)),"")</f>
        <v/>
      </c>
      <c r="D281" s="9" t="str">
        <f>IFERROR(INDEX('Employee Master'!$H$10:$H$109,MATCH(B281,'Employee Master'!$A$10:$A$109,0)),"")</f>
        <v/>
      </c>
      <c r="E281" s="16" t="s">
        <v>42</v>
      </c>
      <c r="F281" s="19">
        <v>0.390277777777778</v>
      </c>
      <c r="G281" s="19">
        <v>0.77430555555555602</v>
      </c>
      <c r="H281" s="16">
        <v>1.5</v>
      </c>
      <c r="I281" s="9"/>
      <c r="J281" s="16">
        <f t="shared" si="8"/>
        <v>9.2200000000000006</v>
      </c>
      <c r="K281" s="16" t="str">
        <f>IF(F281&lt;&gt;"",IF(F281&gt;Lists!$L$10,"Late","On Time"),"")</f>
        <v>On Time</v>
      </c>
      <c r="L281" s="16" t="str">
        <f>IF(G281&lt;&gt;"",IF(G281&lt;Lists!$L$11,"Early","On Time"),"")</f>
        <v>On Time</v>
      </c>
      <c r="M281" s="9" t="str">
        <f t="shared" si="9"/>
        <v>P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</row>
    <row r="282" spans="1:45" x14ac:dyDescent="0.3">
      <c r="A282" s="18">
        <v>46260</v>
      </c>
      <c r="B282" s="9" t="s">
        <v>575</v>
      </c>
      <c r="C282" s="9" t="str">
        <f>IFERROR(INDEX('Employee Master'!$B$10:$B$109,MATCH(B282,'Employee Master'!$A$10:$A$109,0)),"")</f>
        <v/>
      </c>
      <c r="D282" s="9" t="str">
        <f>IFERROR(INDEX('Employee Master'!$H$10:$H$109,MATCH(B282,'Employee Master'!$A$10:$A$109,0)),"")</f>
        <v/>
      </c>
      <c r="E282" s="16" t="s">
        <v>42</v>
      </c>
      <c r="F282" s="19">
        <v>0.38194444444444398</v>
      </c>
      <c r="G282" s="19">
        <v>0.77430555555555602</v>
      </c>
      <c r="H282" s="16">
        <v>0</v>
      </c>
      <c r="I282" s="9"/>
      <c r="J282" s="16">
        <f t="shared" si="8"/>
        <v>9.42</v>
      </c>
      <c r="K282" s="16" t="str">
        <f>IF(F282&lt;&gt;"",IF(F282&gt;Lists!$L$10,"Late","On Time"),"")</f>
        <v>On Time</v>
      </c>
      <c r="L282" s="16" t="str">
        <f>IF(G282&lt;&gt;"",IF(G282&lt;Lists!$L$11,"Early","On Time"),"")</f>
        <v>On Time</v>
      </c>
      <c r="M282" s="9" t="str">
        <f t="shared" si="9"/>
        <v>P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</row>
    <row r="283" spans="1:45" x14ac:dyDescent="0.3">
      <c r="A283" s="18">
        <v>46260</v>
      </c>
      <c r="B283" s="9" t="s">
        <v>576</v>
      </c>
      <c r="C283" s="9" t="str">
        <f>IFERROR(INDEX('Employee Master'!$B$10:$B$109,MATCH(B283,'Employee Master'!$A$10:$A$109,0)),"")</f>
        <v/>
      </c>
      <c r="D283" s="9" t="str">
        <f>IFERROR(INDEX('Employee Master'!$H$10:$H$109,MATCH(B283,'Employee Master'!$A$10:$A$109,0)),"")</f>
        <v/>
      </c>
      <c r="E283" s="16" t="s">
        <v>42</v>
      </c>
      <c r="F283" s="19">
        <v>0.390277777777778</v>
      </c>
      <c r="G283" s="19">
        <v>0.75</v>
      </c>
      <c r="H283" s="16">
        <v>0</v>
      </c>
      <c r="I283" s="9"/>
      <c r="J283" s="16">
        <f t="shared" si="8"/>
        <v>8.6300000000000008</v>
      </c>
      <c r="K283" s="16" t="str">
        <f>IF(F283&lt;&gt;"",IF(F283&gt;Lists!$L$10,"Late","On Time"),"")</f>
        <v>On Time</v>
      </c>
      <c r="L283" s="16" t="str">
        <f>IF(G283&lt;&gt;"",IF(G283&lt;Lists!$L$11,"Early","On Time"),"")</f>
        <v>On Time</v>
      </c>
      <c r="M283" s="9" t="str">
        <f t="shared" si="9"/>
        <v>P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</row>
    <row r="284" spans="1:45" x14ac:dyDescent="0.3">
      <c r="A284" s="18">
        <v>46260</v>
      </c>
      <c r="B284" s="9" t="s">
        <v>577</v>
      </c>
      <c r="C284" s="9" t="str">
        <f>IFERROR(INDEX('Employee Master'!$B$10:$B$109,MATCH(B284,'Employee Master'!$A$10:$A$109,0)),"")</f>
        <v/>
      </c>
      <c r="D284" s="9" t="str">
        <f>IFERROR(INDEX('Employee Master'!$H$10:$H$109,MATCH(B284,'Employee Master'!$A$10:$A$109,0)),"")</f>
        <v/>
      </c>
      <c r="E284" s="16" t="s">
        <v>42</v>
      </c>
      <c r="F284" s="19">
        <v>0.38194444444444398</v>
      </c>
      <c r="G284" s="19">
        <v>0.76388888888888895</v>
      </c>
      <c r="H284" s="16">
        <v>0</v>
      </c>
      <c r="I284" s="9"/>
      <c r="J284" s="16">
        <f t="shared" si="8"/>
        <v>9.17</v>
      </c>
      <c r="K284" s="16" t="str">
        <f>IF(F284&lt;&gt;"",IF(F284&gt;Lists!$L$10,"Late","On Time"),"")</f>
        <v>On Time</v>
      </c>
      <c r="L284" s="16" t="str">
        <f>IF(G284&lt;&gt;"",IF(G284&lt;Lists!$L$11,"Early","On Time"),"")</f>
        <v>On Time</v>
      </c>
      <c r="M284" s="9" t="str">
        <f t="shared" si="9"/>
        <v>P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</row>
    <row r="285" spans="1:45" x14ac:dyDescent="0.3">
      <c r="A285" s="18">
        <v>46260</v>
      </c>
      <c r="B285" s="9" t="s">
        <v>578</v>
      </c>
      <c r="C285" s="9" t="str">
        <f>IFERROR(INDEX('Employee Master'!$B$10:$B$109,MATCH(B285,'Employee Master'!$A$10:$A$109,0)),"")</f>
        <v/>
      </c>
      <c r="D285" s="9" t="str">
        <f>IFERROR(INDEX('Employee Master'!$H$10:$H$109,MATCH(B285,'Employee Master'!$A$10:$A$109,0)),"")</f>
        <v/>
      </c>
      <c r="E285" s="16" t="s">
        <v>42</v>
      </c>
      <c r="F285" s="19">
        <v>0.38194444444444398</v>
      </c>
      <c r="G285" s="19">
        <v>0.76388888888888895</v>
      </c>
      <c r="H285" s="16">
        <v>0</v>
      </c>
      <c r="I285" s="9"/>
      <c r="J285" s="16">
        <f t="shared" si="8"/>
        <v>9.17</v>
      </c>
      <c r="K285" s="16" t="str">
        <f>IF(F285&lt;&gt;"",IF(F285&gt;Lists!$L$10,"Late","On Time"),"")</f>
        <v>On Time</v>
      </c>
      <c r="L285" s="16" t="str">
        <f>IF(G285&lt;&gt;"",IF(G285&lt;Lists!$L$11,"Early","On Time"),"")</f>
        <v>On Time</v>
      </c>
      <c r="M285" s="9" t="str">
        <f t="shared" si="9"/>
        <v>P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</row>
    <row r="286" spans="1:45" x14ac:dyDescent="0.3">
      <c r="A286" s="18">
        <v>46260</v>
      </c>
      <c r="B286" s="9" t="s">
        <v>579</v>
      </c>
      <c r="C286" s="9" t="str">
        <f>IFERROR(INDEX('Employee Master'!$B$10:$B$109,MATCH(B286,'Employee Master'!$A$10:$A$109,0)),"")</f>
        <v/>
      </c>
      <c r="D286" s="9" t="str">
        <f>IFERROR(INDEX('Employee Master'!$H$10:$H$109,MATCH(B286,'Employee Master'!$A$10:$A$109,0)),"")</f>
        <v/>
      </c>
      <c r="E286" s="16" t="s">
        <v>42</v>
      </c>
      <c r="F286" s="19">
        <v>0.390277777777778</v>
      </c>
      <c r="G286" s="19">
        <v>0.75347222222222199</v>
      </c>
      <c r="H286" s="16">
        <v>2.5</v>
      </c>
      <c r="I286" s="9"/>
      <c r="J286" s="16">
        <f t="shared" si="8"/>
        <v>8.7200000000000006</v>
      </c>
      <c r="K286" s="16" t="str">
        <f>IF(F286&lt;&gt;"",IF(F286&gt;Lists!$L$10,"Late","On Time"),"")</f>
        <v>On Time</v>
      </c>
      <c r="L286" s="16" t="str">
        <f>IF(G286&lt;&gt;"",IF(G286&lt;Lists!$L$11,"Early","On Time"),"")</f>
        <v>On Time</v>
      </c>
      <c r="M286" s="9" t="str">
        <f t="shared" si="9"/>
        <v>P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</row>
    <row r="287" spans="1:45" x14ac:dyDescent="0.3">
      <c r="A287" s="18">
        <v>46260</v>
      </c>
      <c r="B287" s="9" t="s">
        <v>580</v>
      </c>
      <c r="C287" s="9" t="str">
        <f>IFERROR(INDEX('Employee Master'!$B$10:$B$109,MATCH(B287,'Employee Master'!$A$10:$A$109,0)),"")</f>
        <v/>
      </c>
      <c r="D287" s="9" t="str">
        <f>IFERROR(INDEX('Employee Master'!$H$10:$H$109,MATCH(B287,'Employee Master'!$A$10:$A$109,0)),"")</f>
        <v/>
      </c>
      <c r="E287" s="16" t="s">
        <v>42</v>
      </c>
      <c r="F287" s="19">
        <v>0.39236111111111099</v>
      </c>
      <c r="G287" s="19">
        <v>0.75347222222222199</v>
      </c>
      <c r="H287" s="16">
        <v>0</v>
      </c>
      <c r="I287" s="9"/>
      <c r="J287" s="16">
        <f t="shared" si="8"/>
        <v>8.67</v>
      </c>
      <c r="K287" s="16" t="str">
        <f>IF(F287&lt;&gt;"",IF(F287&gt;Lists!$L$10,"Late","On Time"),"")</f>
        <v>On Time</v>
      </c>
      <c r="L287" s="16" t="str">
        <f>IF(G287&lt;&gt;"",IF(G287&lt;Lists!$L$11,"Early","On Time"),"")</f>
        <v>On Time</v>
      </c>
      <c r="M287" s="9" t="str">
        <f t="shared" si="9"/>
        <v>P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</row>
    <row r="288" spans="1:45" x14ac:dyDescent="0.3">
      <c r="A288" s="18">
        <v>46260</v>
      </c>
      <c r="B288" s="9" t="s">
        <v>581</v>
      </c>
      <c r="C288" s="9" t="str">
        <f>IFERROR(INDEX('Employee Master'!$B$10:$B$109,MATCH(B288,'Employee Master'!$A$10:$A$109,0)),"")</f>
        <v/>
      </c>
      <c r="D288" s="9" t="str">
        <f>IFERROR(INDEX('Employee Master'!$H$10:$H$109,MATCH(B288,'Employee Master'!$A$10:$A$109,0)),"")</f>
        <v/>
      </c>
      <c r="E288" s="16" t="s">
        <v>42</v>
      </c>
      <c r="F288" s="19">
        <v>0.39236111111111099</v>
      </c>
      <c r="G288" s="19">
        <v>0.77430555555555602</v>
      </c>
      <c r="H288" s="16">
        <v>1.5</v>
      </c>
      <c r="I288" s="9"/>
      <c r="J288" s="16">
        <f t="shared" si="8"/>
        <v>9.17</v>
      </c>
      <c r="K288" s="16" t="str">
        <f>IF(F288&lt;&gt;"",IF(F288&gt;Lists!$L$10,"Late","On Time"),"")</f>
        <v>On Time</v>
      </c>
      <c r="L288" s="16" t="str">
        <f>IF(G288&lt;&gt;"",IF(G288&lt;Lists!$L$11,"Early","On Time"),"")</f>
        <v>On Time</v>
      </c>
      <c r="M288" s="9" t="str">
        <f t="shared" si="9"/>
        <v>P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</row>
    <row r="289" spans="1:45" x14ac:dyDescent="0.3">
      <c r="A289" s="18">
        <v>46260</v>
      </c>
      <c r="B289" s="9" t="s">
        <v>582</v>
      </c>
      <c r="C289" s="9" t="str">
        <f>IFERROR(INDEX('Employee Master'!$B$10:$B$109,MATCH(B289,'Employee Master'!$A$10:$A$109,0)),"")</f>
        <v/>
      </c>
      <c r="D289" s="9" t="str">
        <f>IFERROR(INDEX('Employee Master'!$H$10:$H$109,MATCH(B289,'Employee Master'!$A$10:$A$109,0)),"")</f>
        <v/>
      </c>
      <c r="E289" s="16" t="s">
        <v>42</v>
      </c>
      <c r="F289" s="19">
        <v>0.39236111111111099</v>
      </c>
      <c r="G289" s="19">
        <v>0.75694444444444398</v>
      </c>
      <c r="H289" s="16">
        <v>0</v>
      </c>
      <c r="I289" s="9"/>
      <c r="J289" s="16">
        <f t="shared" si="8"/>
        <v>8.75</v>
      </c>
      <c r="K289" s="16" t="str">
        <f>IF(F289&lt;&gt;"",IF(F289&gt;Lists!$L$10,"Late","On Time"),"")</f>
        <v>On Time</v>
      </c>
      <c r="L289" s="16" t="str">
        <f>IF(G289&lt;&gt;"",IF(G289&lt;Lists!$L$11,"Early","On Time"),"")</f>
        <v>On Time</v>
      </c>
      <c r="M289" s="9" t="str">
        <f t="shared" si="9"/>
        <v>P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</row>
    <row r="290" spans="1:45" x14ac:dyDescent="0.3">
      <c r="A290" s="18">
        <v>46260</v>
      </c>
      <c r="B290" s="9" t="s">
        <v>583</v>
      </c>
      <c r="C290" s="9" t="str">
        <f>IFERROR(INDEX('Employee Master'!$B$10:$B$109,MATCH(B290,'Employee Master'!$A$10:$A$109,0)),"")</f>
        <v/>
      </c>
      <c r="D290" s="9" t="str">
        <f>IFERROR(INDEX('Employee Master'!$H$10:$H$109,MATCH(B290,'Employee Master'!$A$10:$A$109,0)),"")</f>
        <v/>
      </c>
      <c r="E290" s="16" t="s">
        <v>42</v>
      </c>
      <c r="F290" s="19">
        <v>0.38194444444444398</v>
      </c>
      <c r="G290" s="19">
        <v>0.75694444444444398</v>
      </c>
      <c r="H290" s="16">
        <v>0</v>
      </c>
      <c r="I290" s="9"/>
      <c r="J290" s="16">
        <f t="shared" si="8"/>
        <v>9</v>
      </c>
      <c r="K290" s="16" t="str">
        <f>IF(F290&lt;&gt;"",IF(F290&gt;Lists!$L$10,"Late","On Time"),"")</f>
        <v>On Time</v>
      </c>
      <c r="L290" s="16" t="str">
        <f>IF(G290&lt;&gt;"",IF(G290&lt;Lists!$L$11,"Early","On Time"),"")</f>
        <v>On Time</v>
      </c>
      <c r="M290" s="9" t="str">
        <f t="shared" si="9"/>
        <v>P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</row>
    <row r="291" spans="1:45" x14ac:dyDescent="0.3">
      <c r="A291" s="18">
        <v>46260</v>
      </c>
      <c r="B291" s="9" t="s">
        <v>584</v>
      </c>
      <c r="C291" s="9" t="str">
        <f>IFERROR(INDEX('Employee Master'!$B$10:$B$109,MATCH(B291,'Employee Master'!$A$10:$A$109,0)),"")</f>
        <v/>
      </c>
      <c r="D291" s="9" t="str">
        <f>IFERROR(INDEX('Employee Master'!$H$10:$H$109,MATCH(B291,'Employee Master'!$A$10:$A$109,0)),"")</f>
        <v/>
      </c>
      <c r="E291" s="16" t="s">
        <v>42</v>
      </c>
      <c r="F291" s="19">
        <v>0.39236111111111099</v>
      </c>
      <c r="G291" s="19">
        <v>0.75</v>
      </c>
      <c r="H291" s="16">
        <v>1</v>
      </c>
      <c r="I291" s="9"/>
      <c r="J291" s="16">
        <f t="shared" si="8"/>
        <v>8.58</v>
      </c>
      <c r="K291" s="16" t="str">
        <f>IF(F291&lt;&gt;"",IF(F291&gt;Lists!$L$10,"Late","On Time"),"")</f>
        <v>On Time</v>
      </c>
      <c r="L291" s="16" t="str">
        <f>IF(G291&lt;&gt;"",IF(G291&lt;Lists!$L$11,"Early","On Time"),"")</f>
        <v>On Time</v>
      </c>
      <c r="M291" s="9" t="str">
        <f t="shared" si="9"/>
        <v>P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</row>
    <row r="292" spans="1:45" x14ac:dyDescent="0.3">
      <c r="A292" s="18">
        <v>46260</v>
      </c>
      <c r="B292" s="9" t="s">
        <v>585</v>
      </c>
      <c r="C292" s="9" t="str">
        <f>IFERROR(INDEX('Employee Master'!$B$10:$B$109,MATCH(B292,'Employee Master'!$A$10:$A$109,0)),"")</f>
        <v/>
      </c>
      <c r="D292" s="9" t="str">
        <f>IFERROR(INDEX('Employee Master'!$H$10:$H$109,MATCH(B292,'Employee Master'!$A$10:$A$109,0)),"")</f>
        <v/>
      </c>
      <c r="E292" s="16" t="s">
        <v>42</v>
      </c>
      <c r="F292" s="19">
        <v>0.38194444444444398</v>
      </c>
      <c r="G292" s="19">
        <v>0.75347222222222199</v>
      </c>
      <c r="H292" s="16">
        <v>0</v>
      </c>
      <c r="I292" s="9"/>
      <c r="J292" s="16">
        <f t="shared" si="8"/>
        <v>8.92</v>
      </c>
      <c r="K292" s="16" t="str">
        <f>IF(F292&lt;&gt;"",IF(F292&gt;Lists!$L$10,"Late","On Time"),"")</f>
        <v>On Time</v>
      </c>
      <c r="L292" s="16" t="str">
        <f>IF(G292&lt;&gt;"",IF(G292&lt;Lists!$L$11,"Early","On Time"),"")</f>
        <v>On Time</v>
      </c>
      <c r="M292" s="9" t="str">
        <f t="shared" si="9"/>
        <v>P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</row>
    <row r="293" spans="1:45" x14ac:dyDescent="0.3">
      <c r="A293" s="18">
        <v>46260</v>
      </c>
      <c r="B293" s="9" t="s">
        <v>586</v>
      </c>
      <c r="C293" s="9" t="str">
        <f>IFERROR(INDEX('Employee Master'!$B$10:$B$109,MATCH(B293,'Employee Master'!$A$10:$A$109,0)),"")</f>
        <v/>
      </c>
      <c r="D293" s="9" t="str">
        <f>IFERROR(INDEX('Employee Master'!$H$10:$H$109,MATCH(B293,'Employee Master'!$A$10:$A$109,0)),"")</f>
        <v/>
      </c>
      <c r="E293" s="16" t="s">
        <v>42</v>
      </c>
      <c r="F293" s="19">
        <v>0.38750000000000001</v>
      </c>
      <c r="G293" s="19">
        <v>0.75694444444444398</v>
      </c>
      <c r="H293" s="16">
        <v>0</v>
      </c>
      <c r="I293" s="9"/>
      <c r="J293" s="16">
        <f t="shared" si="8"/>
        <v>8.8699999999999992</v>
      </c>
      <c r="K293" s="16" t="str">
        <f>IF(F293&lt;&gt;"",IF(F293&gt;Lists!$L$10,"Late","On Time"),"")</f>
        <v>On Time</v>
      </c>
      <c r="L293" s="16" t="str">
        <f>IF(G293&lt;&gt;"",IF(G293&lt;Lists!$L$11,"Early","On Time"),"")</f>
        <v>On Time</v>
      </c>
      <c r="M293" s="9" t="str">
        <f t="shared" si="9"/>
        <v>P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</row>
    <row r="294" spans="1:45" x14ac:dyDescent="0.3">
      <c r="A294" s="18">
        <v>46260</v>
      </c>
      <c r="B294" s="9" t="s">
        <v>587</v>
      </c>
      <c r="C294" s="9" t="str">
        <f>IFERROR(INDEX('Employee Master'!$B$10:$B$109,MATCH(B294,'Employee Master'!$A$10:$A$109,0)),"")</f>
        <v/>
      </c>
      <c r="D294" s="9" t="str">
        <f>IFERROR(INDEX('Employee Master'!$H$10:$H$109,MATCH(B294,'Employee Master'!$A$10:$A$109,0)),"")</f>
        <v/>
      </c>
      <c r="E294" s="16" t="s">
        <v>42</v>
      </c>
      <c r="F294" s="19">
        <v>0.37847222222222199</v>
      </c>
      <c r="G294" s="19">
        <v>0.75694444444444398</v>
      </c>
      <c r="H294" s="16">
        <v>0</v>
      </c>
      <c r="I294" s="9"/>
      <c r="J294" s="16">
        <f t="shared" si="8"/>
        <v>9.08</v>
      </c>
      <c r="K294" s="16" t="str">
        <f>IF(F294&lt;&gt;"",IF(F294&gt;Lists!$L$10,"Late","On Time"),"")</f>
        <v>On Time</v>
      </c>
      <c r="L294" s="16" t="str">
        <f>IF(G294&lt;&gt;"",IF(G294&lt;Lists!$L$11,"Early","On Time"),"")</f>
        <v>On Time</v>
      </c>
      <c r="M294" s="9" t="str">
        <f t="shared" si="9"/>
        <v>P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</row>
    <row r="295" spans="1:45" x14ac:dyDescent="0.3">
      <c r="A295" s="18">
        <v>46260</v>
      </c>
      <c r="B295" s="9" t="s">
        <v>588</v>
      </c>
      <c r="C295" s="9" t="str">
        <f>IFERROR(INDEX('Employee Master'!$B$10:$B$109,MATCH(B295,'Employee Master'!$A$10:$A$109,0)),"")</f>
        <v/>
      </c>
      <c r="D295" s="9" t="str">
        <f>IFERROR(INDEX('Employee Master'!$H$10:$H$109,MATCH(B295,'Employee Master'!$A$10:$A$109,0)),"")</f>
        <v/>
      </c>
      <c r="E295" s="16" t="s">
        <v>42</v>
      </c>
      <c r="F295" s="19">
        <v>0.37847222222222199</v>
      </c>
      <c r="G295" s="19">
        <v>0.75</v>
      </c>
      <c r="H295" s="16">
        <v>0</v>
      </c>
      <c r="I295" s="9"/>
      <c r="J295" s="16">
        <f t="shared" si="8"/>
        <v>8.92</v>
      </c>
      <c r="K295" s="16" t="str">
        <f>IF(F295&lt;&gt;"",IF(F295&gt;Lists!$L$10,"Late","On Time"),"")</f>
        <v>On Time</v>
      </c>
      <c r="L295" s="16" t="str">
        <f>IF(G295&lt;&gt;"",IF(G295&lt;Lists!$L$11,"Early","On Time"),"")</f>
        <v>On Time</v>
      </c>
      <c r="M295" s="9" t="str">
        <f t="shared" si="9"/>
        <v>P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</row>
    <row r="296" spans="1:45" x14ac:dyDescent="0.3">
      <c r="A296" s="18">
        <v>46260</v>
      </c>
      <c r="B296" s="9" t="s">
        <v>589</v>
      </c>
      <c r="C296" s="9" t="str">
        <f>IFERROR(INDEX('Employee Master'!$B$10:$B$109,MATCH(B296,'Employee Master'!$A$10:$A$109,0)),"")</f>
        <v/>
      </c>
      <c r="D296" s="9" t="str">
        <f>IFERROR(INDEX('Employee Master'!$H$10:$H$109,MATCH(B296,'Employee Master'!$A$10:$A$109,0)),"")</f>
        <v/>
      </c>
      <c r="E296" s="16" t="s">
        <v>42</v>
      </c>
      <c r="F296" s="19">
        <v>0.39236111111111099</v>
      </c>
      <c r="G296" s="19">
        <v>0.75347222222222199</v>
      </c>
      <c r="H296" s="16">
        <v>0</v>
      </c>
      <c r="I296" s="9"/>
      <c r="J296" s="16">
        <f t="shared" si="8"/>
        <v>8.67</v>
      </c>
      <c r="K296" s="16" t="str">
        <f>IF(F296&lt;&gt;"",IF(F296&gt;Lists!$L$10,"Late","On Time"),"")</f>
        <v>On Time</v>
      </c>
      <c r="L296" s="16" t="str">
        <f>IF(G296&lt;&gt;"",IF(G296&lt;Lists!$L$11,"Early","On Time"),"")</f>
        <v>On Time</v>
      </c>
      <c r="M296" s="9" t="str">
        <f t="shared" si="9"/>
        <v>P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</row>
    <row r="297" spans="1:45" x14ac:dyDescent="0.3">
      <c r="A297" s="18">
        <v>46260</v>
      </c>
      <c r="B297" s="9" t="s">
        <v>590</v>
      </c>
      <c r="C297" s="9" t="str">
        <f>IFERROR(INDEX('Employee Master'!$B$10:$B$109,MATCH(B297,'Employee Master'!$A$10:$A$109,0)),"")</f>
        <v/>
      </c>
      <c r="D297" s="9" t="str">
        <f>IFERROR(INDEX('Employee Master'!$H$10:$H$109,MATCH(B297,'Employee Master'!$A$10:$A$109,0)),"")</f>
        <v/>
      </c>
      <c r="E297" s="16" t="s">
        <v>42</v>
      </c>
      <c r="F297" s="19">
        <v>0.38750000000000001</v>
      </c>
      <c r="G297" s="19">
        <v>0.75</v>
      </c>
      <c r="H297" s="16">
        <v>3</v>
      </c>
      <c r="I297" s="9"/>
      <c r="J297" s="16">
        <f t="shared" si="8"/>
        <v>8.6999999999999993</v>
      </c>
      <c r="K297" s="16" t="str">
        <f>IF(F297&lt;&gt;"",IF(F297&gt;Lists!$L$10,"Late","On Time"),"")</f>
        <v>On Time</v>
      </c>
      <c r="L297" s="16" t="str">
        <f>IF(G297&lt;&gt;"",IF(G297&lt;Lists!$L$11,"Early","On Time"),"")</f>
        <v>On Time</v>
      </c>
      <c r="M297" s="9" t="str">
        <f t="shared" si="9"/>
        <v>P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</row>
    <row r="298" spans="1:45" x14ac:dyDescent="0.3">
      <c r="A298" s="18">
        <v>46260</v>
      </c>
      <c r="B298" s="9" t="s">
        <v>591</v>
      </c>
      <c r="C298" s="9" t="str">
        <f>IFERROR(INDEX('Employee Master'!$B$10:$B$109,MATCH(B298,'Employee Master'!$A$10:$A$109,0)),"")</f>
        <v/>
      </c>
      <c r="D298" s="9" t="str">
        <f>IFERROR(INDEX('Employee Master'!$H$10:$H$109,MATCH(B298,'Employee Master'!$A$10:$A$109,0)),"")</f>
        <v/>
      </c>
      <c r="E298" s="16" t="s">
        <v>42</v>
      </c>
      <c r="F298" s="19">
        <v>0.37847222222222199</v>
      </c>
      <c r="G298" s="19">
        <v>0.75347222222222199</v>
      </c>
      <c r="H298" s="16">
        <v>0</v>
      </c>
      <c r="I298" s="9"/>
      <c r="J298" s="16">
        <f t="shared" si="8"/>
        <v>9</v>
      </c>
      <c r="K298" s="16" t="str">
        <f>IF(F298&lt;&gt;"",IF(F298&gt;Lists!$L$10,"Late","On Time"),"")</f>
        <v>On Time</v>
      </c>
      <c r="L298" s="16" t="str">
        <f>IF(G298&lt;&gt;"",IF(G298&lt;Lists!$L$11,"Early","On Time"),"")</f>
        <v>On Time</v>
      </c>
      <c r="M298" s="9" t="str">
        <f t="shared" si="9"/>
        <v>P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</row>
    <row r="299" spans="1:45" x14ac:dyDescent="0.3">
      <c r="A299" s="18">
        <v>46260</v>
      </c>
      <c r="B299" s="9" t="s">
        <v>592</v>
      </c>
      <c r="C299" s="9" t="str">
        <f>IFERROR(INDEX('Employee Master'!$B$10:$B$109,MATCH(B299,'Employee Master'!$A$10:$A$109,0)),"")</f>
        <v/>
      </c>
      <c r="D299" s="9" t="str">
        <f>IFERROR(INDEX('Employee Master'!$H$10:$H$109,MATCH(B299,'Employee Master'!$A$10:$A$109,0)),"")</f>
        <v/>
      </c>
      <c r="E299" s="16" t="s">
        <v>42</v>
      </c>
      <c r="F299" s="19">
        <v>0.390277777777778</v>
      </c>
      <c r="G299" s="19">
        <v>0.77430555555555602</v>
      </c>
      <c r="H299" s="16">
        <v>0</v>
      </c>
      <c r="I299" s="9"/>
      <c r="J299" s="16">
        <f t="shared" si="8"/>
        <v>9.2200000000000006</v>
      </c>
      <c r="K299" s="16" t="str">
        <f>IF(F299&lt;&gt;"",IF(F299&gt;Lists!$L$10,"Late","On Time"),"")</f>
        <v>On Time</v>
      </c>
      <c r="L299" s="16" t="str">
        <f>IF(G299&lt;&gt;"",IF(G299&lt;Lists!$L$11,"Early","On Time"),"")</f>
        <v>On Time</v>
      </c>
      <c r="M299" s="9" t="str">
        <f t="shared" si="9"/>
        <v>P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</row>
    <row r="300" spans="1:45" x14ac:dyDescent="0.3">
      <c r="A300" s="18">
        <v>46260</v>
      </c>
      <c r="B300" s="9" t="s">
        <v>593</v>
      </c>
      <c r="C300" s="9" t="str">
        <f>IFERROR(INDEX('Employee Master'!$B$10:$B$109,MATCH(B300,'Employee Master'!$A$10:$A$109,0)),"")</f>
        <v/>
      </c>
      <c r="D300" s="9" t="str">
        <f>IFERROR(INDEX('Employee Master'!$H$10:$H$109,MATCH(B300,'Employee Master'!$A$10:$A$109,0)),"")</f>
        <v/>
      </c>
      <c r="E300" s="16" t="s">
        <v>42</v>
      </c>
      <c r="F300" s="19">
        <v>0.38194444444444398</v>
      </c>
      <c r="G300" s="19">
        <v>0.77430555555555602</v>
      </c>
      <c r="H300" s="16">
        <v>0</v>
      </c>
      <c r="I300" s="9"/>
      <c r="J300" s="16">
        <f t="shared" si="8"/>
        <v>9.42</v>
      </c>
      <c r="K300" s="16" t="str">
        <f>IF(F300&lt;&gt;"",IF(F300&gt;Lists!$L$10,"Late","On Time"),"")</f>
        <v>On Time</v>
      </c>
      <c r="L300" s="16" t="str">
        <f>IF(G300&lt;&gt;"",IF(G300&lt;Lists!$L$11,"Early","On Time"),"")</f>
        <v>On Time</v>
      </c>
      <c r="M300" s="9" t="str">
        <f t="shared" si="9"/>
        <v>P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</row>
    <row r="301" spans="1:45" x14ac:dyDescent="0.3">
      <c r="A301" s="18">
        <v>46260</v>
      </c>
      <c r="B301" s="9" t="s">
        <v>594</v>
      </c>
      <c r="C301" s="9" t="str">
        <f>IFERROR(INDEX('Employee Master'!$B$10:$B$109,MATCH(B301,'Employee Master'!$A$10:$A$109,0)),"")</f>
        <v/>
      </c>
      <c r="D301" s="9" t="str">
        <f>IFERROR(INDEX('Employee Master'!$H$10:$H$109,MATCH(B301,'Employee Master'!$A$10:$A$109,0)),"")</f>
        <v/>
      </c>
      <c r="E301" s="16" t="s">
        <v>42</v>
      </c>
      <c r="F301" s="19">
        <v>0.39236111111111099</v>
      </c>
      <c r="G301" s="19">
        <v>0.75</v>
      </c>
      <c r="H301" s="16">
        <v>0</v>
      </c>
      <c r="I301" s="9"/>
      <c r="J301" s="16">
        <f t="shared" si="8"/>
        <v>8.58</v>
      </c>
      <c r="K301" s="16" t="str">
        <f>IF(F301&lt;&gt;"",IF(F301&gt;Lists!$L$10,"Late","On Time"),"")</f>
        <v>On Time</v>
      </c>
      <c r="L301" s="16" t="str">
        <f>IF(G301&lt;&gt;"",IF(G301&lt;Lists!$L$11,"Early","On Time"),"")</f>
        <v>On Time</v>
      </c>
      <c r="M301" s="9" t="str">
        <f t="shared" si="9"/>
        <v>P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</row>
    <row r="302" spans="1:45" x14ac:dyDescent="0.3">
      <c r="A302" s="18">
        <v>46260</v>
      </c>
      <c r="B302" s="9" t="s">
        <v>595</v>
      </c>
      <c r="C302" s="9" t="str">
        <f>IFERROR(INDEX('Employee Master'!$B$10:$B$109,MATCH(B302,'Employee Master'!$A$10:$A$109,0)),"")</f>
        <v/>
      </c>
      <c r="D302" s="9" t="str">
        <f>IFERROR(INDEX('Employee Master'!$H$10:$H$109,MATCH(B302,'Employee Master'!$A$10:$A$109,0)),"")</f>
        <v/>
      </c>
      <c r="E302" s="16" t="s">
        <v>42</v>
      </c>
      <c r="F302" s="19">
        <v>0.39236111111111099</v>
      </c>
      <c r="G302" s="19">
        <v>0.75</v>
      </c>
      <c r="H302" s="16">
        <v>0</v>
      </c>
      <c r="I302" s="9"/>
      <c r="J302" s="16">
        <f t="shared" si="8"/>
        <v>8.58</v>
      </c>
      <c r="K302" s="16" t="str">
        <f>IF(F302&lt;&gt;"",IF(F302&gt;Lists!$L$10,"Late","On Time"),"")</f>
        <v>On Time</v>
      </c>
      <c r="L302" s="16" t="str">
        <f>IF(G302&lt;&gt;"",IF(G302&lt;Lists!$L$11,"Early","On Time"),"")</f>
        <v>On Time</v>
      </c>
      <c r="M302" s="9" t="str">
        <f t="shared" si="9"/>
        <v>P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</row>
    <row r="303" spans="1:45" x14ac:dyDescent="0.3">
      <c r="A303" s="18">
        <v>46260</v>
      </c>
      <c r="B303" s="9" t="s">
        <v>596</v>
      </c>
      <c r="C303" s="9" t="str">
        <f>IFERROR(INDEX('Employee Master'!$B$10:$B$109,MATCH(B303,'Employee Master'!$A$10:$A$109,0)),"")</f>
        <v/>
      </c>
      <c r="D303" s="9" t="str">
        <f>IFERROR(INDEX('Employee Master'!$H$10:$H$109,MATCH(B303,'Employee Master'!$A$10:$A$109,0)),"")</f>
        <v/>
      </c>
      <c r="E303" s="16" t="s">
        <v>42</v>
      </c>
      <c r="F303" s="19">
        <v>0.38750000000000001</v>
      </c>
      <c r="G303" s="19">
        <v>0.75347222222222199</v>
      </c>
      <c r="H303" s="16">
        <v>0</v>
      </c>
      <c r="I303" s="9"/>
      <c r="J303" s="16">
        <f t="shared" si="8"/>
        <v>8.7799999999999994</v>
      </c>
      <c r="K303" s="16" t="str">
        <f>IF(F303&lt;&gt;"",IF(F303&gt;Lists!$L$10,"Late","On Time"),"")</f>
        <v>On Time</v>
      </c>
      <c r="L303" s="16" t="str">
        <f>IF(G303&lt;&gt;"",IF(G303&lt;Lists!$L$11,"Early","On Time"),"")</f>
        <v>On Time</v>
      </c>
      <c r="M303" s="9" t="str">
        <f t="shared" si="9"/>
        <v>P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</row>
    <row r="304" spans="1:45" x14ac:dyDescent="0.3">
      <c r="A304" s="18">
        <v>46260</v>
      </c>
      <c r="B304" s="9" t="s">
        <v>597</v>
      </c>
      <c r="C304" s="9" t="str">
        <f>IFERROR(INDEX('Employee Master'!$B$10:$B$109,MATCH(B304,'Employee Master'!$A$10:$A$109,0)),"")</f>
        <v/>
      </c>
      <c r="D304" s="9" t="str">
        <f>IFERROR(INDEX('Employee Master'!$H$10:$H$109,MATCH(B304,'Employee Master'!$A$10:$A$109,0)),"")</f>
        <v/>
      </c>
      <c r="E304" s="16" t="s">
        <v>42</v>
      </c>
      <c r="F304" s="19">
        <v>0.38750000000000001</v>
      </c>
      <c r="G304" s="19">
        <v>0.75</v>
      </c>
      <c r="H304" s="16">
        <v>0</v>
      </c>
      <c r="I304" s="9"/>
      <c r="J304" s="16">
        <f t="shared" si="8"/>
        <v>8.6999999999999993</v>
      </c>
      <c r="K304" s="16" t="str">
        <f>IF(F304&lt;&gt;"",IF(F304&gt;Lists!$L$10,"Late","On Time"),"")</f>
        <v>On Time</v>
      </c>
      <c r="L304" s="16" t="str">
        <f>IF(G304&lt;&gt;"",IF(G304&lt;Lists!$L$11,"Early","On Time"),"")</f>
        <v>On Time</v>
      </c>
      <c r="M304" s="9" t="str">
        <f t="shared" si="9"/>
        <v>P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</row>
    <row r="305" spans="1:45" x14ac:dyDescent="0.3">
      <c r="A305" s="18">
        <v>46260</v>
      </c>
      <c r="B305" s="9" t="s">
        <v>598</v>
      </c>
      <c r="C305" s="9" t="str">
        <f>IFERROR(INDEX('Employee Master'!$B$10:$B$109,MATCH(B305,'Employee Master'!$A$10:$A$109,0)),"")</f>
        <v/>
      </c>
      <c r="D305" s="9" t="str">
        <f>IFERROR(INDEX('Employee Master'!$H$10:$H$109,MATCH(B305,'Employee Master'!$A$10:$A$109,0)),"")</f>
        <v/>
      </c>
      <c r="E305" s="16" t="s">
        <v>42</v>
      </c>
      <c r="F305" s="19">
        <v>0.39236111111111099</v>
      </c>
      <c r="G305" s="19">
        <v>0.75347222222222199</v>
      </c>
      <c r="H305" s="16">
        <v>0</v>
      </c>
      <c r="I305" s="9"/>
      <c r="J305" s="16">
        <f t="shared" si="8"/>
        <v>8.67</v>
      </c>
      <c r="K305" s="16" t="str">
        <f>IF(F305&lt;&gt;"",IF(F305&gt;Lists!$L$10,"Late","On Time"),"")</f>
        <v>On Time</v>
      </c>
      <c r="L305" s="16" t="str">
        <f>IF(G305&lt;&gt;"",IF(G305&lt;Lists!$L$11,"Early","On Time"),"")</f>
        <v>On Time</v>
      </c>
      <c r="M305" s="9" t="str">
        <f t="shared" si="9"/>
        <v>P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</row>
    <row r="306" spans="1:45" x14ac:dyDescent="0.3">
      <c r="A306" s="18">
        <v>46260</v>
      </c>
      <c r="B306" s="9" t="s">
        <v>599</v>
      </c>
      <c r="C306" s="9" t="str">
        <f>IFERROR(INDEX('Employee Master'!$B$10:$B$109,MATCH(B306,'Employee Master'!$A$10:$A$109,0)),"")</f>
        <v/>
      </c>
      <c r="D306" s="9" t="str">
        <f>IFERROR(INDEX('Employee Master'!$H$10:$H$109,MATCH(B306,'Employee Master'!$A$10:$A$109,0)),"")</f>
        <v/>
      </c>
      <c r="E306" s="16" t="s">
        <v>42</v>
      </c>
      <c r="F306" s="19">
        <v>0.37847222222222199</v>
      </c>
      <c r="G306" s="19">
        <v>0.76388888888888895</v>
      </c>
      <c r="H306" s="16">
        <v>0</v>
      </c>
      <c r="I306" s="9"/>
      <c r="J306" s="16">
        <f t="shared" si="8"/>
        <v>9.25</v>
      </c>
      <c r="K306" s="16" t="str">
        <f>IF(F306&lt;&gt;"",IF(F306&gt;Lists!$L$10,"Late","On Time"),"")</f>
        <v>On Time</v>
      </c>
      <c r="L306" s="16" t="str">
        <f>IF(G306&lt;&gt;"",IF(G306&lt;Lists!$L$11,"Early","On Time"),"")</f>
        <v>On Time</v>
      </c>
      <c r="M306" s="9" t="str">
        <f t="shared" si="9"/>
        <v>P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</row>
    <row r="307" spans="1:45" x14ac:dyDescent="0.3">
      <c r="A307" s="18">
        <v>46260</v>
      </c>
      <c r="B307" s="9" t="s">
        <v>600</v>
      </c>
      <c r="C307" s="9" t="str">
        <f>IFERROR(INDEX('Employee Master'!$B$10:$B$109,MATCH(B307,'Employee Master'!$A$10:$A$109,0)),"")</f>
        <v/>
      </c>
      <c r="D307" s="9" t="str">
        <f>IFERROR(INDEX('Employee Master'!$H$10:$H$109,MATCH(B307,'Employee Master'!$A$10:$A$109,0)),"")</f>
        <v/>
      </c>
      <c r="E307" s="16" t="s">
        <v>42</v>
      </c>
      <c r="F307" s="19">
        <v>0.37847222222222199</v>
      </c>
      <c r="G307" s="19">
        <v>0.75</v>
      </c>
      <c r="H307" s="16">
        <v>0</v>
      </c>
      <c r="I307" s="9"/>
      <c r="J307" s="16">
        <f t="shared" si="8"/>
        <v>8.92</v>
      </c>
      <c r="K307" s="16" t="str">
        <f>IF(F307&lt;&gt;"",IF(F307&gt;Lists!$L$10,"Late","On Time"),"")</f>
        <v>On Time</v>
      </c>
      <c r="L307" s="16" t="str">
        <f>IF(G307&lt;&gt;"",IF(G307&lt;Lists!$L$11,"Early","On Time"),"")</f>
        <v>On Time</v>
      </c>
      <c r="M307" s="9" t="str">
        <f t="shared" si="9"/>
        <v>P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</row>
    <row r="308" spans="1:45" x14ac:dyDescent="0.3">
      <c r="A308" s="18">
        <v>46260</v>
      </c>
      <c r="B308" s="9" t="s">
        <v>601</v>
      </c>
      <c r="C308" s="9" t="str">
        <f>IFERROR(INDEX('Employee Master'!$B$10:$B$109,MATCH(B308,'Employee Master'!$A$10:$A$109,0)),"")</f>
        <v/>
      </c>
      <c r="D308" s="9" t="str">
        <f>IFERROR(INDEX('Employee Master'!$H$10:$H$109,MATCH(B308,'Employee Master'!$A$10:$A$109,0)),"")</f>
        <v/>
      </c>
      <c r="E308" s="16" t="s">
        <v>42</v>
      </c>
      <c r="F308" s="19">
        <v>0.39236111111111099</v>
      </c>
      <c r="G308" s="19">
        <v>0.75347222222222199</v>
      </c>
      <c r="H308" s="16">
        <v>0</v>
      </c>
      <c r="I308" s="9"/>
      <c r="J308" s="16">
        <f t="shared" si="8"/>
        <v>8.67</v>
      </c>
      <c r="K308" s="16" t="str">
        <f>IF(F308&lt;&gt;"",IF(F308&gt;Lists!$L$10,"Late","On Time"),"")</f>
        <v>On Time</v>
      </c>
      <c r="L308" s="16" t="str">
        <f>IF(G308&lt;&gt;"",IF(G308&lt;Lists!$L$11,"Early","On Time"),"")</f>
        <v>On Time</v>
      </c>
      <c r="M308" s="9" t="str">
        <f t="shared" si="9"/>
        <v>P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</row>
    <row r="309" spans="1:45" x14ac:dyDescent="0.3">
      <c r="A309" s="18">
        <v>46260</v>
      </c>
      <c r="B309" s="9" t="s">
        <v>602</v>
      </c>
      <c r="C309" s="9" t="str">
        <f>IFERROR(INDEX('Employee Master'!$B$10:$B$109,MATCH(B309,'Employee Master'!$A$10:$A$109,0)),"")</f>
        <v/>
      </c>
      <c r="D309" s="9" t="str">
        <f>IFERROR(INDEX('Employee Master'!$H$10:$H$109,MATCH(B309,'Employee Master'!$A$10:$A$109,0)),"")</f>
        <v/>
      </c>
      <c r="E309" s="16" t="s">
        <v>48</v>
      </c>
      <c r="F309" s="19">
        <v>0.390277777777778</v>
      </c>
      <c r="G309" s="19">
        <v>0.5625</v>
      </c>
      <c r="H309" s="16">
        <v>0</v>
      </c>
      <c r="I309" s="9"/>
      <c r="J309" s="16">
        <f t="shared" si="8"/>
        <v>4.13</v>
      </c>
      <c r="K309" s="16" t="str">
        <f>IF(F309&lt;&gt;"",IF(F309&gt;Lists!$L$10,"Late","On Time"),"")</f>
        <v>On Time</v>
      </c>
      <c r="L309" s="16" t="str">
        <f>IF(G309&lt;&gt;"",IF(G309&lt;Lists!$L$11,"Early","On Time"),"")</f>
        <v>Early</v>
      </c>
      <c r="M309" s="9" t="str">
        <f t="shared" si="9"/>
        <v>HD +Early Exit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</row>
    <row r="310" spans="1:45" x14ac:dyDescent="0.3">
      <c r="A310" s="18">
        <v>46260</v>
      </c>
      <c r="B310" s="9" t="s">
        <v>603</v>
      </c>
      <c r="C310" s="9" t="str">
        <f>IFERROR(INDEX('Employee Master'!$B$10:$B$109,MATCH(B310,'Employee Master'!$A$10:$A$109,0)),"")</f>
        <v/>
      </c>
      <c r="D310" s="9" t="str">
        <f>IFERROR(INDEX('Employee Master'!$H$10:$H$109,MATCH(B310,'Employee Master'!$A$10:$A$109,0)),"")</f>
        <v/>
      </c>
      <c r="E310" s="16" t="s">
        <v>42</v>
      </c>
      <c r="F310" s="19">
        <v>0.39236111111111099</v>
      </c>
      <c r="G310" s="19">
        <v>0.76388888888888895</v>
      </c>
      <c r="H310" s="16">
        <v>0</v>
      </c>
      <c r="I310" s="9"/>
      <c r="J310" s="16">
        <f t="shared" si="8"/>
        <v>8.92</v>
      </c>
      <c r="K310" s="16" t="str">
        <f>IF(F310&lt;&gt;"",IF(F310&gt;Lists!$L$10,"Late","On Time"),"")</f>
        <v>On Time</v>
      </c>
      <c r="L310" s="16" t="str">
        <f>IF(G310&lt;&gt;"",IF(G310&lt;Lists!$L$11,"Early","On Time"),"")</f>
        <v>On Time</v>
      </c>
      <c r="M310" s="9" t="str">
        <f t="shared" si="9"/>
        <v>P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</row>
    <row r="311" spans="1:45" x14ac:dyDescent="0.3">
      <c r="A311" s="18">
        <v>46260</v>
      </c>
      <c r="B311" s="9" t="s">
        <v>604</v>
      </c>
      <c r="C311" s="9" t="str">
        <f>IFERROR(INDEX('Employee Master'!$B$10:$B$109,MATCH(B311,'Employee Master'!$A$10:$A$109,0)),"")</f>
        <v/>
      </c>
      <c r="D311" s="9" t="str">
        <f>IFERROR(INDEX('Employee Master'!$H$10:$H$109,MATCH(B311,'Employee Master'!$A$10:$A$109,0)),"")</f>
        <v/>
      </c>
      <c r="E311" s="16" t="s">
        <v>42</v>
      </c>
      <c r="F311" s="19">
        <v>0.38541666666666702</v>
      </c>
      <c r="G311" s="19">
        <v>0.77430555555555602</v>
      </c>
      <c r="H311" s="16">
        <v>0</v>
      </c>
      <c r="I311" s="9"/>
      <c r="J311" s="16">
        <f t="shared" si="8"/>
        <v>9.33</v>
      </c>
      <c r="K311" s="16" t="str">
        <f>IF(F311&lt;&gt;"",IF(F311&gt;Lists!$L$10,"Late","On Time"),"")</f>
        <v>On Time</v>
      </c>
      <c r="L311" s="16" t="str">
        <f>IF(G311&lt;&gt;"",IF(G311&lt;Lists!$L$11,"Early","On Time"),"")</f>
        <v>On Time</v>
      </c>
      <c r="M311" s="9" t="str">
        <f t="shared" si="9"/>
        <v>P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</row>
    <row r="312" spans="1:45" x14ac:dyDescent="0.3">
      <c r="A312" s="18">
        <v>46260</v>
      </c>
      <c r="B312" s="9" t="s">
        <v>605</v>
      </c>
      <c r="C312" s="9" t="str">
        <f>IFERROR(INDEX('Employee Master'!$B$10:$B$109,MATCH(B312,'Employee Master'!$A$10:$A$109,0)),"")</f>
        <v/>
      </c>
      <c r="D312" s="9" t="str">
        <f>IFERROR(INDEX('Employee Master'!$H$10:$H$109,MATCH(B312,'Employee Master'!$A$10:$A$109,0)),"")</f>
        <v/>
      </c>
      <c r="E312" s="16" t="s">
        <v>42</v>
      </c>
      <c r="F312" s="19">
        <v>0.38750000000000001</v>
      </c>
      <c r="G312" s="19">
        <v>0.75347222222222199</v>
      </c>
      <c r="H312" s="16">
        <v>0</v>
      </c>
      <c r="I312" s="9"/>
      <c r="J312" s="16">
        <f t="shared" si="8"/>
        <v>8.7799999999999994</v>
      </c>
      <c r="K312" s="16" t="str">
        <f>IF(F312&lt;&gt;"",IF(F312&gt;Lists!$L$10,"Late","On Time"),"")</f>
        <v>On Time</v>
      </c>
      <c r="L312" s="16" t="str">
        <f>IF(G312&lt;&gt;"",IF(G312&lt;Lists!$L$11,"Early","On Time"),"")</f>
        <v>On Time</v>
      </c>
      <c r="M312" s="9" t="str">
        <f t="shared" si="9"/>
        <v>P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</row>
    <row r="313" spans="1:45" x14ac:dyDescent="0.3">
      <c r="A313" s="18">
        <v>46260</v>
      </c>
      <c r="B313" s="9" t="s">
        <v>606</v>
      </c>
      <c r="C313" s="9" t="str">
        <f>IFERROR(INDEX('Employee Master'!$B$10:$B$109,MATCH(B313,'Employee Master'!$A$10:$A$109,0)),"")</f>
        <v/>
      </c>
      <c r="D313" s="9" t="str">
        <f>IFERROR(INDEX('Employee Master'!$H$10:$H$109,MATCH(B313,'Employee Master'!$A$10:$A$109,0)),"")</f>
        <v/>
      </c>
      <c r="E313" s="16" t="s">
        <v>42</v>
      </c>
      <c r="F313" s="19">
        <v>0.390277777777778</v>
      </c>
      <c r="G313" s="19">
        <v>0.75</v>
      </c>
      <c r="H313" s="16">
        <v>0</v>
      </c>
      <c r="I313" s="9"/>
      <c r="J313" s="16">
        <f t="shared" si="8"/>
        <v>8.6300000000000008</v>
      </c>
      <c r="K313" s="16" t="str">
        <f>IF(F313&lt;&gt;"",IF(F313&gt;Lists!$L$10,"Late","On Time"),"")</f>
        <v>On Time</v>
      </c>
      <c r="L313" s="16" t="str">
        <f>IF(G313&lt;&gt;"",IF(G313&lt;Lists!$L$11,"Early","On Time"),"")</f>
        <v>On Time</v>
      </c>
      <c r="M313" s="9" t="str">
        <f t="shared" si="9"/>
        <v>P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</row>
    <row r="314" spans="1:45" x14ac:dyDescent="0.3">
      <c r="A314" s="18">
        <v>46260</v>
      </c>
      <c r="B314" s="9" t="s">
        <v>607</v>
      </c>
      <c r="C314" s="9" t="str">
        <f>IFERROR(INDEX('Employee Master'!$B$10:$B$109,MATCH(B314,'Employee Master'!$A$10:$A$109,0)),"")</f>
        <v/>
      </c>
      <c r="D314" s="9" t="str">
        <f>IFERROR(INDEX('Employee Master'!$H$10:$H$109,MATCH(B314,'Employee Master'!$A$10:$A$109,0)),"")</f>
        <v/>
      </c>
      <c r="E314" s="16" t="s">
        <v>42</v>
      </c>
      <c r="F314" s="19">
        <v>0.39236111111111099</v>
      </c>
      <c r="G314" s="19">
        <v>0.75</v>
      </c>
      <c r="H314" s="16">
        <v>0</v>
      </c>
      <c r="I314" s="9"/>
      <c r="J314" s="16">
        <f t="shared" si="8"/>
        <v>8.58</v>
      </c>
      <c r="K314" s="16" t="str">
        <f>IF(F314&lt;&gt;"",IF(F314&gt;Lists!$L$10,"Late","On Time"),"")</f>
        <v>On Time</v>
      </c>
      <c r="L314" s="16" t="str">
        <f>IF(G314&lt;&gt;"",IF(G314&lt;Lists!$L$11,"Early","On Time"),"")</f>
        <v>On Time</v>
      </c>
      <c r="M314" s="9" t="str">
        <f t="shared" si="9"/>
        <v>P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</row>
    <row r="315" spans="1:45" x14ac:dyDescent="0.3">
      <c r="A315" s="18">
        <v>46260</v>
      </c>
      <c r="B315" s="9" t="s">
        <v>608</v>
      </c>
      <c r="C315" s="9" t="str">
        <f>IFERROR(INDEX('Employee Master'!$B$10:$B$109,MATCH(B315,'Employee Master'!$A$10:$A$109,0)),"")</f>
        <v/>
      </c>
      <c r="D315" s="9" t="str">
        <f>IFERROR(INDEX('Employee Master'!$H$10:$H$109,MATCH(B315,'Employee Master'!$A$10:$A$109,0)),"")</f>
        <v/>
      </c>
      <c r="E315" s="16" t="s">
        <v>42</v>
      </c>
      <c r="F315" s="19">
        <v>0.37847222222222199</v>
      </c>
      <c r="G315" s="19">
        <v>0.75</v>
      </c>
      <c r="H315" s="16">
        <v>2.5</v>
      </c>
      <c r="I315" s="9"/>
      <c r="J315" s="16">
        <f t="shared" si="8"/>
        <v>8.92</v>
      </c>
      <c r="K315" s="16" t="str">
        <f>IF(F315&lt;&gt;"",IF(F315&gt;Lists!$L$10,"Late","On Time"),"")</f>
        <v>On Time</v>
      </c>
      <c r="L315" s="16" t="str">
        <f>IF(G315&lt;&gt;"",IF(G315&lt;Lists!$L$11,"Early","On Time"),"")</f>
        <v>On Time</v>
      </c>
      <c r="M315" s="9" t="str">
        <f t="shared" si="9"/>
        <v>P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</row>
    <row r="316" spans="1:45" x14ac:dyDescent="0.3">
      <c r="A316" s="18"/>
      <c r="B316" s="9"/>
      <c r="C316" s="9" t="str">
        <f>IFERROR(INDEX('Employee Master'!$B$10:$B$109,MATCH(B316,'Employee Master'!$A$10:$A$109,0)),"")</f>
        <v/>
      </c>
      <c r="D316" s="9" t="str">
        <f>IFERROR(INDEX('Employee Master'!$H$10:$H$109,MATCH(B316,'Employee Master'!$A$10:$A$109,0)),"")</f>
        <v/>
      </c>
      <c r="E316" s="16"/>
      <c r="F316" s="19"/>
      <c r="G316" s="19"/>
      <c r="H316" s="16">
        <v>0</v>
      </c>
      <c r="I316" s="9"/>
      <c r="J316" s="16" t="str">
        <f t="shared" si="8"/>
        <v/>
      </c>
      <c r="K316" s="16" t="str">
        <f>IF(F316&lt;&gt;"",IF(F316&gt;Lists!$L$10,"Late","On Time"),"")</f>
        <v/>
      </c>
      <c r="L316" s="16" t="str">
        <f>IF(G316&lt;&gt;"",IF(G316&lt;Lists!$L$11,"Early","On Time"),"")</f>
        <v/>
      </c>
      <c r="M316" s="9" t="str">
        <f t="shared" si="9"/>
        <v/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</row>
    <row r="317" spans="1:45" x14ac:dyDescent="0.3">
      <c r="A317" s="18"/>
      <c r="B317" s="9"/>
      <c r="C317" s="9" t="str">
        <f>IFERROR(INDEX('Employee Master'!$B$10:$B$109,MATCH(B317,'Employee Master'!$A$10:$A$109,0)),"")</f>
        <v/>
      </c>
      <c r="D317" s="9" t="str">
        <f>IFERROR(INDEX('Employee Master'!$H$10:$H$109,MATCH(B317,'Employee Master'!$A$10:$A$109,0)),"")</f>
        <v/>
      </c>
      <c r="E317" s="16"/>
      <c r="F317" s="19"/>
      <c r="G317" s="19"/>
      <c r="H317" s="16">
        <v>0</v>
      </c>
      <c r="I317" s="9"/>
      <c r="J317" s="16" t="str">
        <f t="shared" si="8"/>
        <v/>
      </c>
      <c r="K317" s="16" t="str">
        <f>IF(F317&lt;&gt;"",IF(F317&gt;Lists!$L$10,"Late","On Time"),"")</f>
        <v/>
      </c>
      <c r="L317" s="16" t="str">
        <f>IF(G317&lt;&gt;"",IF(G317&lt;Lists!$L$11,"Early","On Time"),"")</f>
        <v/>
      </c>
      <c r="M317" s="9" t="str">
        <f t="shared" si="9"/>
        <v/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</row>
    <row r="318" spans="1:45" x14ac:dyDescent="0.3">
      <c r="A318" s="18"/>
      <c r="B318" s="9"/>
      <c r="C318" s="9" t="str">
        <f>IFERROR(INDEX('Employee Master'!$B$10:$B$109,MATCH(B318,'Employee Master'!$A$10:$A$109,0)),"")</f>
        <v/>
      </c>
      <c r="D318" s="9" t="str">
        <f>IFERROR(INDEX('Employee Master'!$H$10:$H$109,MATCH(B318,'Employee Master'!$A$10:$A$109,0)),"")</f>
        <v/>
      </c>
      <c r="E318" s="16"/>
      <c r="F318" s="19"/>
      <c r="G318" s="19"/>
      <c r="H318" s="16">
        <v>0</v>
      </c>
      <c r="I318" s="9"/>
      <c r="J318" s="16" t="str">
        <f t="shared" si="8"/>
        <v/>
      </c>
      <c r="K318" s="16" t="str">
        <f>IF(F318&lt;&gt;"",IF(F318&gt;Lists!$L$10,"Late","On Time"),"")</f>
        <v/>
      </c>
      <c r="L318" s="16" t="str">
        <f>IF(G318&lt;&gt;"",IF(G318&lt;Lists!$L$11,"Early","On Time"),"")</f>
        <v/>
      </c>
      <c r="M318" s="9" t="str">
        <f t="shared" si="9"/>
        <v/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</row>
    <row r="319" spans="1:45" x14ac:dyDescent="0.3">
      <c r="A319" s="18"/>
      <c r="B319" s="9"/>
      <c r="C319" s="9" t="str">
        <f>IFERROR(INDEX('Employee Master'!$B$10:$B$109,MATCH(B319,'Employee Master'!$A$10:$A$109,0)),"")</f>
        <v/>
      </c>
      <c r="D319" s="9" t="str">
        <f>IFERROR(INDEX('Employee Master'!$H$10:$H$109,MATCH(B319,'Employee Master'!$A$10:$A$109,0)),"")</f>
        <v/>
      </c>
      <c r="E319" s="16"/>
      <c r="F319" s="19"/>
      <c r="G319" s="19"/>
      <c r="H319" s="16">
        <v>0</v>
      </c>
      <c r="I319" s="9"/>
      <c r="J319" s="16" t="str">
        <f t="shared" si="8"/>
        <v/>
      </c>
      <c r="K319" s="16" t="str">
        <f>IF(F319&lt;&gt;"",IF(F319&gt;Lists!$L$10,"Late","On Time"),"")</f>
        <v/>
      </c>
      <c r="L319" s="16" t="str">
        <f>IF(G319&lt;&gt;"",IF(G319&lt;Lists!$L$11,"Early","On Time"),"")</f>
        <v/>
      </c>
      <c r="M319" s="9" t="str">
        <f t="shared" si="9"/>
        <v/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</row>
    <row r="320" spans="1:45" x14ac:dyDescent="0.3">
      <c r="A320" s="18"/>
      <c r="B320" s="9"/>
      <c r="C320" s="9" t="str">
        <f>IFERROR(INDEX('Employee Master'!$B$10:$B$109,MATCH(B320,'Employee Master'!$A$10:$A$109,0)),"")</f>
        <v/>
      </c>
      <c r="D320" s="9" t="str">
        <f>IFERROR(INDEX('Employee Master'!$H$10:$H$109,MATCH(B320,'Employee Master'!$A$10:$A$109,0)),"")</f>
        <v/>
      </c>
      <c r="E320" s="16"/>
      <c r="F320" s="19"/>
      <c r="G320" s="19"/>
      <c r="H320" s="16">
        <v>0</v>
      </c>
      <c r="I320" s="9"/>
      <c r="J320" s="16" t="str">
        <f t="shared" si="8"/>
        <v/>
      </c>
      <c r="K320" s="16" t="str">
        <f>IF(F320&lt;&gt;"",IF(F320&gt;Lists!$L$10,"Late","On Time"),"")</f>
        <v/>
      </c>
      <c r="L320" s="16" t="str">
        <f>IF(G320&lt;&gt;"",IF(G320&lt;Lists!$L$11,"Early","On Time"),"")</f>
        <v/>
      </c>
      <c r="M320" s="9" t="str">
        <f t="shared" si="9"/>
        <v/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</row>
    <row r="321" spans="1:45" x14ac:dyDescent="0.3">
      <c r="A321" s="18"/>
      <c r="B321" s="9"/>
      <c r="C321" s="9" t="str">
        <f>IFERROR(INDEX('Employee Master'!$B$10:$B$109,MATCH(B321,'Employee Master'!$A$10:$A$109,0)),"")</f>
        <v/>
      </c>
      <c r="D321" s="9" t="str">
        <f>IFERROR(INDEX('Employee Master'!$H$10:$H$109,MATCH(B321,'Employee Master'!$A$10:$A$109,0)),"")</f>
        <v/>
      </c>
      <c r="E321" s="16"/>
      <c r="F321" s="19"/>
      <c r="G321" s="19"/>
      <c r="H321" s="16">
        <v>0</v>
      </c>
      <c r="I321" s="9"/>
      <c r="J321" s="16" t="str">
        <f t="shared" si="8"/>
        <v/>
      </c>
      <c r="K321" s="16" t="str">
        <f>IF(F321&lt;&gt;"",IF(F321&gt;Lists!$L$10,"Late","On Time"),"")</f>
        <v/>
      </c>
      <c r="L321" s="16" t="str">
        <f>IF(G321&lt;&gt;"",IF(G321&lt;Lists!$L$11,"Early","On Time"),"")</f>
        <v/>
      </c>
      <c r="M321" s="9" t="str">
        <f t="shared" si="9"/>
        <v/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</row>
    <row r="322" spans="1:45" x14ac:dyDescent="0.3">
      <c r="A322" s="18"/>
      <c r="B322" s="9"/>
      <c r="C322" s="9" t="str">
        <f>IFERROR(INDEX('Employee Master'!$B$10:$B$109,MATCH(B322,'Employee Master'!$A$10:$A$109,0)),"")</f>
        <v/>
      </c>
      <c r="D322" s="9" t="str">
        <f>IFERROR(INDEX('Employee Master'!$H$10:$H$109,MATCH(B322,'Employee Master'!$A$10:$A$109,0)),"")</f>
        <v/>
      </c>
      <c r="E322" s="16"/>
      <c r="F322" s="19"/>
      <c r="G322" s="19"/>
      <c r="H322" s="16">
        <v>0</v>
      </c>
      <c r="I322" s="9"/>
      <c r="J322" s="16" t="str">
        <f t="shared" si="8"/>
        <v/>
      </c>
      <c r="K322" s="16" t="str">
        <f>IF(F322&lt;&gt;"",IF(F322&gt;Lists!$L$10,"Late","On Time"),"")</f>
        <v/>
      </c>
      <c r="L322" s="16" t="str">
        <f>IF(G322&lt;&gt;"",IF(G322&lt;Lists!$L$11,"Early","On Time"),"")</f>
        <v/>
      </c>
      <c r="M322" s="9" t="str">
        <f t="shared" si="9"/>
        <v/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</row>
    <row r="323" spans="1:45" x14ac:dyDescent="0.3">
      <c r="A323" s="18"/>
      <c r="B323" s="9"/>
      <c r="C323" s="9" t="str">
        <f>IFERROR(INDEX('Employee Master'!$B$10:$B$109,MATCH(B323,'Employee Master'!$A$10:$A$109,0)),"")</f>
        <v/>
      </c>
      <c r="D323" s="9" t="str">
        <f>IFERROR(INDEX('Employee Master'!$H$10:$H$109,MATCH(B323,'Employee Master'!$A$10:$A$109,0)),"")</f>
        <v/>
      </c>
      <c r="E323" s="16"/>
      <c r="F323" s="19"/>
      <c r="G323" s="19"/>
      <c r="H323" s="16">
        <v>0</v>
      </c>
      <c r="I323" s="9"/>
      <c r="J323" s="16" t="str">
        <f t="shared" si="8"/>
        <v/>
      </c>
      <c r="K323" s="16" t="str">
        <f>IF(F323&lt;&gt;"",IF(F323&gt;Lists!$L$10,"Late","On Time"),"")</f>
        <v/>
      </c>
      <c r="L323" s="16" t="str">
        <f>IF(G323&lt;&gt;"",IF(G323&lt;Lists!$L$11,"Early","On Time"),"")</f>
        <v/>
      </c>
      <c r="M323" s="9" t="str">
        <f t="shared" si="9"/>
        <v/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</row>
    <row r="324" spans="1:45" x14ac:dyDescent="0.3">
      <c r="A324" s="18"/>
      <c r="B324" s="9"/>
      <c r="C324" s="9" t="str">
        <f>IFERROR(INDEX('Employee Master'!$B$10:$B$109,MATCH(B324,'Employee Master'!$A$10:$A$109,0)),"")</f>
        <v/>
      </c>
      <c r="D324" s="9" t="str">
        <f>IFERROR(INDEX('Employee Master'!$H$10:$H$109,MATCH(B324,'Employee Master'!$A$10:$A$109,0)),"")</f>
        <v/>
      </c>
      <c r="E324" s="16"/>
      <c r="F324" s="19"/>
      <c r="G324" s="19"/>
      <c r="H324" s="16">
        <v>0</v>
      </c>
      <c r="I324" s="9"/>
      <c r="J324" s="16" t="str">
        <f t="shared" si="8"/>
        <v/>
      </c>
      <c r="K324" s="16" t="str">
        <f>IF(F324&lt;&gt;"",IF(F324&gt;Lists!$L$10,"Late","On Time"),"")</f>
        <v/>
      </c>
      <c r="L324" s="16" t="str">
        <f>IF(G324&lt;&gt;"",IF(G324&lt;Lists!$L$11,"Early","On Time"),"")</f>
        <v/>
      </c>
      <c r="M324" s="9" t="str">
        <f t="shared" si="9"/>
        <v/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</row>
    <row r="325" spans="1:45" x14ac:dyDescent="0.3">
      <c r="A325" s="18"/>
      <c r="B325" s="9"/>
      <c r="C325" s="9" t="str">
        <f>IFERROR(INDEX('Employee Master'!$B$10:$B$109,MATCH(B325,'Employee Master'!$A$10:$A$109,0)),"")</f>
        <v/>
      </c>
      <c r="D325" s="9" t="str">
        <f>IFERROR(INDEX('Employee Master'!$H$10:$H$109,MATCH(B325,'Employee Master'!$A$10:$A$109,0)),"")</f>
        <v/>
      </c>
      <c r="E325" s="16"/>
      <c r="F325" s="19"/>
      <c r="G325" s="19"/>
      <c r="H325" s="16">
        <v>0</v>
      </c>
      <c r="I325" s="9"/>
      <c r="J325" s="16" t="str">
        <f t="shared" si="8"/>
        <v/>
      </c>
      <c r="K325" s="16" t="str">
        <f>IF(F325&lt;&gt;"",IF(F325&gt;Lists!$L$10,"Late","On Time"),"")</f>
        <v/>
      </c>
      <c r="L325" s="16" t="str">
        <f>IF(G325&lt;&gt;"",IF(G325&lt;Lists!$L$11,"Early","On Time"),"")</f>
        <v/>
      </c>
      <c r="M325" s="9" t="str">
        <f t="shared" si="9"/>
        <v/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</row>
    <row r="326" spans="1:45" x14ac:dyDescent="0.3">
      <c r="A326" s="18"/>
      <c r="B326" s="9"/>
      <c r="C326" s="9" t="str">
        <f>IFERROR(INDEX('Employee Master'!$B$10:$B$109,MATCH(B326,'Employee Master'!$A$10:$A$109,0)),"")</f>
        <v/>
      </c>
      <c r="D326" s="9" t="str">
        <f>IFERROR(INDEX('Employee Master'!$H$10:$H$109,MATCH(B326,'Employee Master'!$A$10:$A$109,0)),"")</f>
        <v/>
      </c>
      <c r="E326" s="16"/>
      <c r="F326" s="19"/>
      <c r="G326" s="19"/>
      <c r="H326" s="16">
        <v>0</v>
      </c>
      <c r="I326" s="9"/>
      <c r="J326" s="16" t="str">
        <f t="shared" si="8"/>
        <v/>
      </c>
      <c r="K326" s="16" t="str">
        <f>IF(F326&lt;&gt;"",IF(F326&gt;Lists!$L$10,"Late","On Time"),"")</f>
        <v/>
      </c>
      <c r="L326" s="16" t="str">
        <f>IF(G326&lt;&gt;"",IF(G326&lt;Lists!$L$11,"Early","On Time"),"")</f>
        <v/>
      </c>
      <c r="M326" s="9" t="str">
        <f t="shared" si="9"/>
        <v/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</row>
    <row r="327" spans="1:45" x14ac:dyDescent="0.3">
      <c r="A327" s="18"/>
      <c r="B327" s="9"/>
      <c r="C327" s="9" t="str">
        <f>IFERROR(INDEX('Employee Master'!$B$10:$B$109,MATCH(B327,'Employee Master'!$A$10:$A$109,0)),"")</f>
        <v/>
      </c>
      <c r="D327" s="9" t="str">
        <f>IFERROR(INDEX('Employee Master'!$H$10:$H$109,MATCH(B327,'Employee Master'!$A$10:$A$109,0)),"")</f>
        <v/>
      </c>
      <c r="E327" s="16"/>
      <c r="F327" s="19"/>
      <c r="G327" s="19"/>
      <c r="H327" s="16">
        <v>0</v>
      </c>
      <c r="I327" s="9"/>
      <c r="J327" s="16" t="str">
        <f t="shared" si="8"/>
        <v/>
      </c>
      <c r="K327" s="16" t="str">
        <f>IF(F327&lt;&gt;"",IF(F327&gt;Lists!$L$10,"Late","On Time"),"")</f>
        <v/>
      </c>
      <c r="L327" s="16" t="str">
        <f>IF(G327&lt;&gt;"",IF(G327&lt;Lists!$L$11,"Early","On Time"),"")</f>
        <v/>
      </c>
      <c r="M327" s="9" t="str">
        <f t="shared" si="9"/>
        <v/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</row>
    <row r="328" spans="1:45" x14ac:dyDescent="0.3">
      <c r="A328" s="18"/>
      <c r="B328" s="9"/>
      <c r="C328" s="9" t="str">
        <f>IFERROR(INDEX('Employee Master'!$B$10:$B$109,MATCH(B328,'Employee Master'!$A$10:$A$109,0)),"")</f>
        <v/>
      </c>
      <c r="D328" s="9" t="str">
        <f>IFERROR(INDEX('Employee Master'!$H$10:$H$109,MATCH(B328,'Employee Master'!$A$10:$A$109,0)),"")</f>
        <v/>
      </c>
      <c r="E328" s="16"/>
      <c r="F328" s="19"/>
      <c r="G328" s="19"/>
      <c r="H328" s="16">
        <v>0</v>
      </c>
      <c r="I328" s="9"/>
      <c r="J328" s="16" t="str">
        <f t="shared" si="8"/>
        <v/>
      </c>
      <c r="K328" s="16" t="str">
        <f>IF(F328&lt;&gt;"",IF(F328&gt;Lists!$L$10,"Late","On Time"),"")</f>
        <v/>
      </c>
      <c r="L328" s="16" t="str">
        <f>IF(G328&lt;&gt;"",IF(G328&lt;Lists!$L$11,"Early","On Time"),"")</f>
        <v/>
      </c>
      <c r="M328" s="9" t="str">
        <f t="shared" si="9"/>
        <v/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</row>
    <row r="329" spans="1:45" x14ac:dyDescent="0.3">
      <c r="A329" s="18"/>
      <c r="B329" s="9"/>
      <c r="C329" s="9" t="str">
        <f>IFERROR(INDEX('Employee Master'!$B$10:$B$109,MATCH(B329,'Employee Master'!$A$10:$A$109,0)),"")</f>
        <v/>
      </c>
      <c r="D329" s="9" t="str">
        <f>IFERROR(INDEX('Employee Master'!$H$10:$H$109,MATCH(B329,'Employee Master'!$A$10:$A$109,0)),"")</f>
        <v/>
      </c>
      <c r="E329" s="16"/>
      <c r="F329" s="19"/>
      <c r="G329" s="19"/>
      <c r="H329" s="16">
        <v>0</v>
      </c>
      <c r="I329" s="9"/>
      <c r="J329" s="16" t="str">
        <f t="shared" si="8"/>
        <v/>
      </c>
      <c r="K329" s="16" t="str">
        <f>IF(F329&lt;&gt;"",IF(F329&gt;Lists!$L$10,"Late","On Time"),"")</f>
        <v/>
      </c>
      <c r="L329" s="16" t="str">
        <f>IF(G329&lt;&gt;"",IF(G329&lt;Lists!$L$11,"Early","On Time"),"")</f>
        <v/>
      </c>
      <c r="M329" s="9" t="str">
        <f t="shared" si="9"/>
        <v/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</row>
    <row r="330" spans="1:45" x14ac:dyDescent="0.3">
      <c r="A330" s="18"/>
      <c r="B330" s="9"/>
      <c r="C330" s="9" t="str">
        <f>IFERROR(INDEX('Employee Master'!$B$10:$B$109,MATCH(B330,'Employee Master'!$A$10:$A$109,0)),"")</f>
        <v/>
      </c>
      <c r="D330" s="9" t="str">
        <f>IFERROR(INDEX('Employee Master'!$H$10:$H$109,MATCH(B330,'Employee Master'!$A$10:$A$109,0)),"")</f>
        <v/>
      </c>
      <c r="E330" s="16"/>
      <c r="F330" s="19"/>
      <c r="G330" s="19"/>
      <c r="H330" s="16">
        <v>0</v>
      </c>
      <c r="I330" s="9"/>
      <c r="J330" s="16" t="str">
        <f t="shared" ref="J330:J393" si="10">IF(AND(F330&lt;&gt;"",G330&lt;&gt;""),ROUND((G330-F330)*24,2),"")</f>
        <v/>
      </c>
      <c r="K330" s="16" t="str">
        <f>IF(F330&lt;&gt;"",IF(F330&gt;Lists!$L$10,"Late","On Time"),"")</f>
        <v/>
      </c>
      <c r="L330" s="16" t="str">
        <f>IF(G330&lt;&gt;"",IF(G330&lt;Lists!$L$11,"Early","On Time"),"")</f>
        <v/>
      </c>
      <c r="M330" s="9" t="str">
        <f t="shared" ref="M330:M393" si="11">IF(E330="","",E330&amp;IF(K330="Late"," +Late","")&amp;IF(L330="Early"," +Early Exit",""))</f>
        <v/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</row>
    <row r="331" spans="1:45" x14ac:dyDescent="0.3">
      <c r="A331" s="18"/>
      <c r="B331" s="9"/>
      <c r="C331" s="9" t="str">
        <f>IFERROR(INDEX('Employee Master'!$B$10:$B$109,MATCH(B331,'Employee Master'!$A$10:$A$109,0)),"")</f>
        <v/>
      </c>
      <c r="D331" s="9" t="str">
        <f>IFERROR(INDEX('Employee Master'!$H$10:$H$109,MATCH(B331,'Employee Master'!$A$10:$A$109,0)),"")</f>
        <v/>
      </c>
      <c r="E331" s="16"/>
      <c r="F331" s="19"/>
      <c r="G331" s="19"/>
      <c r="H331" s="16">
        <v>0</v>
      </c>
      <c r="I331" s="9"/>
      <c r="J331" s="16" t="str">
        <f t="shared" si="10"/>
        <v/>
      </c>
      <c r="K331" s="16" t="str">
        <f>IF(F331&lt;&gt;"",IF(F331&gt;Lists!$L$10,"Late","On Time"),"")</f>
        <v/>
      </c>
      <c r="L331" s="16" t="str">
        <f>IF(G331&lt;&gt;"",IF(G331&lt;Lists!$L$11,"Early","On Time"),"")</f>
        <v/>
      </c>
      <c r="M331" s="9" t="str">
        <f t="shared" si="11"/>
        <v/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</row>
    <row r="332" spans="1:45" x14ac:dyDescent="0.3">
      <c r="A332" s="18"/>
      <c r="B332" s="9"/>
      <c r="C332" s="9" t="str">
        <f>IFERROR(INDEX('Employee Master'!$B$10:$B$109,MATCH(B332,'Employee Master'!$A$10:$A$109,0)),"")</f>
        <v/>
      </c>
      <c r="D332" s="9" t="str">
        <f>IFERROR(INDEX('Employee Master'!$H$10:$H$109,MATCH(B332,'Employee Master'!$A$10:$A$109,0)),"")</f>
        <v/>
      </c>
      <c r="E332" s="16"/>
      <c r="F332" s="19"/>
      <c r="G332" s="19"/>
      <c r="H332" s="16">
        <v>0</v>
      </c>
      <c r="I332" s="9"/>
      <c r="J332" s="16" t="str">
        <f t="shared" si="10"/>
        <v/>
      </c>
      <c r="K332" s="16" t="str">
        <f>IF(F332&lt;&gt;"",IF(F332&gt;Lists!$L$10,"Late","On Time"),"")</f>
        <v/>
      </c>
      <c r="L332" s="16" t="str">
        <f>IF(G332&lt;&gt;"",IF(G332&lt;Lists!$L$11,"Early","On Time"),"")</f>
        <v/>
      </c>
      <c r="M332" s="9" t="str">
        <f t="shared" si="11"/>
        <v/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</row>
    <row r="333" spans="1:45" x14ac:dyDescent="0.3">
      <c r="A333" s="18"/>
      <c r="B333" s="9"/>
      <c r="C333" s="9" t="str">
        <f>IFERROR(INDEX('Employee Master'!$B$10:$B$109,MATCH(B333,'Employee Master'!$A$10:$A$109,0)),"")</f>
        <v/>
      </c>
      <c r="D333" s="9" t="str">
        <f>IFERROR(INDEX('Employee Master'!$H$10:$H$109,MATCH(B333,'Employee Master'!$A$10:$A$109,0)),"")</f>
        <v/>
      </c>
      <c r="E333" s="16"/>
      <c r="F333" s="19"/>
      <c r="G333" s="19"/>
      <c r="H333" s="16">
        <v>0</v>
      </c>
      <c r="I333" s="9"/>
      <c r="J333" s="16" t="str">
        <f t="shared" si="10"/>
        <v/>
      </c>
      <c r="K333" s="16" t="str">
        <f>IF(F333&lt;&gt;"",IF(F333&gt;Lists!$L$10,"Late","On Time"),"")</f>
        <v/>
      </c>
      <c r="L333" s="16" t="str">
        <f>IF(G333&lt;&gt;"",IF(G333&lt;Lists!$L$11,"Early","On Time"),"")</f>
        <v/>
      </c>
      <c r="M333" s="9" t="str">
        <f t="shared" si="11"/>
        <v/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</row>
    <row r="334" spans="1:45" x14ac:dyDescent="0.3">
      <c r="A334" s="18"/>
      <c r="B334" s="9"/>
      <c r="C334" s="9" t="str">
        <f>IFERROR(INDEX('Employee Master'!$B$10:$B$109,MATCH(B334,'Employee Master'!$A$10:$A$109,0)),"")</f>
        <v/>
      </c>
      <c r="D334" s="9" t="str">
        <f>IFERROR(INDEX('Employee Master'!$H$10:$H$109,MATCH(B334,'Employee Master'!$A$10:$A$109,0)),"")</f>
        <v/>
      </c>
      <c r="E334" s="16"/>
      <c r="F334" s="19"/>
      <c r="G334" s="19"/>
      <c r="H334" s="16">
        <v>0</v>
      </c>
      <c r="I334" s="9"/>
      <c r="J334" s="16" t="str">
        <f t="shared" si="10"/>
        <v/>
      </c>
      <c r="K334" s="16" t="str">
        <f>IF(F334&lt;&gt;"",IF(F334&gt;Lists!$L$10,"Late","On Time"),"")</f>
        <v/>
      </c>
      <c r="L334" s="16" t="str">
        <f>IF(G334&lt;&gt;"",IF(G334&lt;Lists!$L$11,"Early","On Time"),"")</f>
        <v/>
      </c>
      <c r="M334" s="9" t="str">
        <f t="shared" si="11"/>
        <v/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</row>
    <row r="335" spans="1:45" x14ac:dyDescent="0.3">
      <c r="A335" s="18"/>
      <c r="B335" s="9"/>
      <c r="C335" s="9" t="str">
        <f>IFERROR(INDEX('Employee Master'!$B$10:$B$109,MATCH(B335,'Employee Master'!$A$10:$A$109,0)),"")</f>
        <v/>
      </c>
      <c r="D335" s="9" t="str">
        <f>IFERROR(INDEX('Employee Master'!$H$10:$H$109,MATCH(B335,'Employee Master'!$A$10:$A$109,0)),"")</f>
        <v/>
      </c>
      <c r="E335" s="16"/>
      <c r="F335" s="19"/>
      <c r="G335" s="19"/>
      <c r="H335" s="16">
        <v>0</v>
      </c>
      <c r="I335" s="9"/>
      <c r="J335" s="16" t="str">
        <f t="shared" si="10"/>
        <v/>
      </c>
      <c r="K335" s="16" t="str">
        <f>IF(F335&lt;&gt;"",IF(F335&gt;Lists!$L$10,"Late","On Time"),"")</f>
        <v/>
      </c>
      <c r="L335" s="16" t="str">
        <f>IF(G335&lt;&gt;"",IF(G335&lt;Lists!$L$11,"Early","On Time"),"")</f>
        <v/>
      </c>
      <c r="M335" s="9" t="str">
        <f t="shared" si="11"/>
        <v/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</row>
    <row r="336" spans="1:45" x14ac:dyDescent="0.3">
      <c r="A336" s="18"/>
      <c r="B336" s="9"/>
      <c r="C336" s="9" t="str">
        <f>IFERROR(INDEX('Employee Master'!$B$10:$B$109,MATCH(B336,'Employee Master'!$A$10:$A$109,0)),"")</f>
        <v/>
      </c>
      <c r="D336" s="9" t="str">
        <f>IFERROR(INDEX('Employee Master'!$H$10:$H$109,MATCH(B336,'Employee Master'!$A$10:$A$109,0)),"")</f>
        <v/>
      </c>
      <c r="E336" s="16"/>
      <c r="F336" s="19"/>
      <c r="G336" s="19"/>
      <c r="H336" s="16">
        <v>0</v>
      </c>
      <c r="I336" s="9"/>
      <c r="J336" s="16" t="str">
        <f t="shared" si="10"/>
        <v/>
      </c>
      <c r="K336" s="16" t="str">
        <f>IF(F336&lt;&gt;"",IF(F336&gt;Lists!$L$10,"Late","On Time"),"")</f>
        <v/>
      </c>
      <c r="L336" s="16" t="str">
        <f>IF(G336&lt;&gt;"",IF(G336&lt;Lists!$L$11,"Early","On Time"),"")</f>
        <v/>
      </c>
      <c r="M336" s="9" t="str">
        <f t="shared" si="11"/>
        <v/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</row>
    <row r="337" spans="1:45" x14ac:dyDescent="0.3">
      <c r="A337" s="18"/>
      <c r="B337" s="9"/>
      <c r="C337" s="9" t="str">
        <f>IFERROR(INDEX('Employee Master'!$B$10:$B$109,MATCH(B337,'Employee Master'!$A$10:$A$109,0)),"")</f>
        <v/>
      </c>
      <c r="D337" s="9" t="str">
        <f>IFERROR(INDEX('Employee Master'!$H$10:$H$109,MATCH(B337,'Employee Master'!$A$10:$A$109,0)),"")</f>
        <v/>
      </c>
      <c r="E337" s="16"/>
      <c r="F337" s="19"/>
      <c r="G337" s="19"/>
      <c r="H337" s="16">
        <v>0</v>
      </c>
      <c r="I337" s="9"/>
      <c r="J337" s="16" t="str">
        <f t="shared" si="10"/>
        <v/>
      </c>
      <c r="K337" s="16" t="str">
        <f>IF(F337&lt;&gt;"",IF(F337&gt;Lists!$L$10,"Late","On Time"),"")</f>
        <v/>
      </c>
      <c r="L337" s="16" t="str">
        <f>IF(G337&lt;&gt;"",IF(G337&lt;Lists!$L$11,"Early","On Time"),"")</f>
        <v/>
      </c>
      <c r="M337" s="9" t="str">
        <f t="shared" si="11"/>
        <v/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</row>
    <row r="338" spans="1:45" x14ac:dyDescent="0.3">
      <c r="A338" s="18"/>
      <c r="B338" s="9"/>
      <c r="C338" s="9" t="str">
        <f>IFERROR(INDEX('Employee Master'!$B$10:$B$109,MATCH(B338,'Employee Master'!$A$10:$A$109,0)),"")</f>
        <v/>
      </c>
      <c r="D338" s="9" t="str">
        <f>IFERROR(INDEX('Employee Master'!$H$10:$H$109,MATCH(B338,'Employee Master'!$A$10:$A$109,0)),"")</f>
        <v/>
      </c>
      <c r="E338" s="16"/>
      <c r="F338" s="19"/>
      <c r="G338" s="19"/>
      <c r="H338" s="16">
        <v>0</v>
      </c>
      <c r="I338" s="9"/>
      <c r="J338" s="16" t="str">
        <f t="shared" si="10"/>
        <v/>
      </c>
      <c r="K338" s="16" t="str">
        <f>IF(F338&lt;&gt;"",IF(F338&gt;Lists!$L$10,"Late","On Time"),"")</f>
        <v/>
      </c>
      <c r="L338" s="16" t="str">
        <f>IF(G338&lt;&gt;"",IF(G338&lt;Lists!$L$11,"Early","On Time"),"")</f>
        <v/>
      </c>
      <c r="M338" s="9" t="str">
        <f t="shared" si="11"/>
        <v/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</row>
    <row r="339" spans="1:45" x14ac:dyDescent="0.3">
      <c r="A339" s="18"/>
      <c r="B339" s="9"/>
      <c r="C339" s="9" t="str">
        <f>IFERROR(INDEX('Employee Master'!$B$10:$B$109,MATCH(B339,'Employee Master'!$A$10:$A$109,0)),"")</f>
        <v/>
      </c>
      <c r="D339" s="9" t="str">
        <f>IFERROR(INDEX('Employee Master'!$H$10:$H$109,MATCH(B339,'Employee Master'!$A$10:$A$109,0)),"")</f>
        <v/>
      </c>
      <c r="E339" s="16"/>
      <c r="F339" s="19"/>
      <c r="G339" s="19"/>
      <c r="H339" s="16">
        <v>0</v>
      </c>
      <c r="I339" s="9"/>
      <c r="J339" s="16" t="str">
        <f t="shared" si="10"/>
        <v/>
      </c>
      <c r="K339" s="16" t="str">
        <f>IF(F339&lt;&gt;"",IF(F339&gt;Lists!$L$10,"Late","On Time"),"")</f>
        <v/>
      </c>
      <c r="L339" s="16" t="str">
        <f>IF(G339&lt;&gt;"",IF(G339&lt;Lists!$L$11,"Early","On Time"),"")</f>
        <v/>
      </c>
      <c r="M339" s="9" t="str">
        <f t="shared" si="11"/>
        <v/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</row>
    <row r="340" spans="1:45" x14ac:dyDescent="0.3">
      <c r="A340" s="18"/>
      <c r="B340" s="9"/>
      <c r="C340" s="9" t="str">
        <f>IFERROR(INDEX('Employee Master'!$B$10:$B$109,MATCH(B340,'Employee Master'!$A$10:$A$109,0)),"")</f>
        <v/>
      </c>
      <c r="D340" s="9" t="str">
        <f>IFERROR(INDEX('Employee Master'!$H$10:$H$109,MATCH(B340,'Employee Master'!$A$10:$A$109,0)),"")</f>
        <v/>
      </c>
      <c r="E340" s="16"/>
      <c r="F340" s="19"/>
      <c r="G340" s="19"/>
      <c r="H340" s="16">
        <v>0</v>
      </c>
      <c r="I340" s="9"/>
      <c r="J340" s="16" t="str">
        <f t="shared" si="10"/>
        <v/>
      </c>
      <c r="K340" s="16" t="str">
        <f>IF(F340&lt;&gt;"",IF(F340&gt;Lists!$L$10,"Late","On Time"),"")</f>
        <v/>
      </c>
      <c r="L340" s="16" t="str">
        <f>IF(G340&lt;&gt;"",IF(G340&lt;Lists!$L$11,"Early","On Time"),"")</f>
        <v/>
      </c>
      <c r="M340" s="9" t="str">
        <f t="shared" si="11"/>
        <v/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</row>
    <row r="341" spans="1:45" x14ac:dyDescent="0.3">
      <c r="A341" s="18"/>
      <c r="B341" s="9"/>
      <c r="C341" s="9" t="str">
        <f>IFERROR(INDEX('Employee Master'!$B$10:$B$109,MATCH(B341,'Employee Master'!$A$10:$A$109,0)),"")</f>
        <v/>
      </c>
      <c r="D341" s="9" t="str">
        <f>IFERROR(INDEX('Employee Master'!$H$10:$H$109,MATCH(B341,'Employee Master'!$A$10:$A$109,0)),"")</f>
        <v/>
      </c>
      <c r="E341" s="16"/>
      <c r="F341" s="19"/>
      <c r="G341" s="19"/>
      <c r="H341" s="16">
        <v>0</v>
      </c>
      <c r="I341" s="9"/>
      <c r="J341" s="16" t="str">
        <f t="shared" si="10"/>
        <v/>
      </c>
      <c r="K341" s="16" t="str">
        <f>IF(F341&lt;&gt;"",IF(F341&gt;Lists!$L$10,"Late","On Time"),"")</f>
        <v/>
      </c>
      <c r="L341" s="16" t="str">
        <f>IF(G341&lt;&gt;"",IF(G341&lt;Lists!$L$11,"Early","On Time"),"")</f>
        <v/>
      </c>
      <c r="M341" s="9" t="str">
        <f t="shared" si="11"/>
        <v/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</row>
    <row r="342" spans="1:45" x14ac:dyDescent="0.3">
      <c r="A342" s="18"/>
      <c r="B342" s="9"/>
      <c r="C342" s="9" t="str">
        <f>IFERROR(INDEX('Employee Master'!$B$10:$B$109,MATCH(B342,'Employee Master'!$A$10:$A$109,0)),"")</f>
        <v/>
      </c>
      <c r="D342" s="9" t="str">
        <f>IFERROR(INDEX('Employee Master'!$H$10:$H$109,MATCH(B342,'Employee Master'!$A$10:$A$109,0)),"")</f>
        <v/>
      </c>
      <c r="E342" s="16"/>
      <c r="F342" s="19"/>
      <c r="G342" s="19"/>
      <c r="H342" s="16">
        <v>0</v>
      </c>
      <c r="I342" s="9"/>
      <c r="J342" s="16" t="str">
        <f t="shared" si="10"/>
        <v/>
      </c>
      <c r="K342" s="16" t="str">
        <f>IF(F342&lt;&gt;"",IF(F342&gt;Lists!$L$10,"Late","On Time"),"")</f>
        <v/>
      </c>
      <c r="L342" s="16" t="str">
        <f>IF(G342&lt;&gt;"",IF(G342&lt;Lists!$L$11,"Early","On Time"),"")</f>
        <v/>
      </c>
      <c r="M342" s="9" t="str">
        <f t="shared" si="11"/>
        <v/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</row>
    <row r="343" spans="1:45" x14ac:dyDescent="0.3">
      <c r="A343" s="18"/>
      <c r="B343" s="9"/>
      <c r="C343" s="9" t="str">
        <f>IFERROR(INDEX('Employee Master'!$B$10:$B$109,MATCH(B343,'Employee Master'!$A$10:$A$109,0)),"")</f>
        <v/>
      </c>
      <c r="D343" s="9" t="str">
        <f>IFERROR(INDEX('Employee Master'!$H$10:$H$109,MATCH(B343,'Employee Master'!$A$10:$A$109,0)),"")</f>
        <v/>
      </c>
      <c r="E343" s="16"/>
      <c r="F343" s="19"/>
      <c r="G343" s="19"/>
      <c r="H343" s="16">
        <v>0</v>
      </c>
      <c r="I343" s="9"/>
      <c r="J343" s="16" t="str">
        <f t="shared" si="10"/>
        <v/>
      </c>
      <c r="K343" s="16" t="str">
        <f>IF(F343&lt;&gt;"",IF(F343&gt;Lists!$L$10,"Late","On Time"),"")</f>
        <v/>
      </c>
      <c r="L343" s="16" t="str">
        <f>IF(G343&lt;&gt;"",IF(G343&lt;Lists!$L$11,"Early","On Time"),"")</f>
        <v/>
      </c>
      <c r="M343" s="9" t="str">
        <f t="shared" si="11"/>
        <v/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</row>
    <row r="344" spans="1:45" x14ac:dyDescent="0.3">
      <c r="A344" s="18"/>
      <c r="B344" s="9"/>
      <c r="C344" s="9" t="str">
        <f>IFERROR(INDEX('Employee Master'!$B$10:$B$109,MATCH(B344,'Employee Master'!$A$10:$A$109,0)),"")</f>
        <v/>
      </c>
      <c r="D344" s="9" t="str">
        <f>IFERROR(INDEX('Employee Master'!$H$10:$H$109,MATCH(B344,'Employee Master'!$A$10:$A$109,0)),"")</f>
        <v/>
      </c>
      <c r="E344" s="16"/>
      <c r="F344" s="19"/>
      <c r="G344" s="19"/>
      <c r="H344" s="16">
        <v>0</v>
      </c>
      <c r="I344" s="9"/>
      <c r="J344" s="16" t="str">
        <f t="shared" si="10"/>
        <v/>
      </c>
      <c r="K344" s="16" t="str">
        <f>IF(F344&lt;&gt;"",IF(F344&gt;Lists!$L$10,"Late","On Time"),"")</f>
        <v/>
      </c>
      <c r="L344" s="16" t="str">
        <f>IF(G344&lt;&gt;"",IF(G344&lt;Lists!$L$11,"Early","On Time"),"")</f>
        <v/>
      </c>
      <c r="M344" s="9" t="str">
        <f t="shared" si="11"/>
        <v/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</row>
    <row r="345" spans="1:45" x14ac:dyDescent="0.3">
      <c r="A345" s="18"/>
      <c r="B345" s="9"/>
      <c r="C345" s="9" t="str">
        <f>IFERROR(INDEX('Employee Master'!$B$10:$B$109,MATCH(B345,'Employee Master'!$A$10:$A$109,0)),"")</f>
        <v/>
      </c>
      <c r="D345" s="9" t="str">
        <f>IFERROR(INDEX('Employee Master'!$H$10:$H$109,MATCH(B345,'Employee Master'!$A$10:$A$109,0)),"")</f>
        <v/>
      </c>
      <c r="E345" s="16"/>
      <c r="F345" s="19"/>
      <c r="G345" s="19"/>
      <c r="H345" s="16">
        <v>0</v>
      </c>
      <c r="I345" s="9"/>
      <c r="J345" s="16" t="str">
        <f t="shared" si="10"/>
        <v/>
      </c>
      <c r="K345" s="16" t="str">
        <f>IF(F345&lt;&gt;"",IF(F345&gt;Lists!$L$10,"Late","On Time"),"")</f>
        <v/>
      </c>
      <c r="L345" s="16" t="str">
        <f>IF(G345&lt;&gt;"",IF(G345&lt;Lists!$L$11,"Early","On Time"),"")</f>
        <v/>
      </c>
      <c r="M345" s="9" t="str">
        <f t="shared" si="11"/>
        <v/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</row>
    <row r="346" spans="1:45" x14ac:dyDescent="0.3">
      <c r="A346" s="18"/>
      <c r="B346" s="9"/>
      <c r="C346" s="9" t="str">
        <f>IFERROR(INDEX('Employee Master'!$B$10:$B$109,MATCH(B346,'Employee Master'!$A$10:$A$109,0)),"")</f>
        <v/>
      </c>
      <c r="D346" s="9" t="str">
        <f>IFERROR(INDEX('Employee Master'!$H$10:$H$109,MATCH(B346,'Employee Master'!$A$10:$A$109,0)),"")</f>
        <v/>
      </c>
      <c r="E346" s="16"/>
      <c r="F346" s="19"/>
      <c r="G346" s="19"/>
      <c r="H346" s="16">
        <v>0</v>
      </c>
      <c r="I346" s="9"/>
      <c r="J346" s="16" t="str">
        <f t="shared" si="10"/>
        <v/>
      </c>
      <c r="K346" s="16" t="str">
        <f>IF(F346&lt;&gt;"",IF(F346&gt;Lists!$L$10,"Late","On Time"),"")</f>
        <v/>
      </c>
      <c r="L346" s="16" t="str">
        <f>IF(G346&lt;&gt;"",IF(G346&lt;Lists!$L$11,"Early","On Time"),"")</f>
        <v/>
      </c>
      <c r="M346" s="9" t="str">
        <f t="shared" si="11"/>
        <v/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</row>
    <row r="347" spans="1:45" x14ac:dyDescent="0.3">
      <c r="A347" s="18"/>
      <c r="B347" s="9"/>
      <c r="C347" s="9" t="str">
        <f>IFERROR(INDEX('Employee Master'!$B$10:$B$109,MATCH(B347,'Employee Master'!$A$10:$A$109,0)),"")</f>
        <v/>
      </c>
      <c r="D347" s="9" t="str">
        <f>IFERROR(INDEX('Employee Master'!$H$10:$H$109,MATCH(B347,'Employee Master'!$A$10:$A$109,0)),"")</f>
        <v/>
      </c>
      <c r="E347" s="16"/>
      <c r="F347" s="19"/>
      <c r="G347" s="19"/>
      <c r="H347" s="16">
        <v>0</v>
      </c>
      <c r="I347" s="9"/>
      <c r="J347" s="16" t="str">
        <f t="shared" si="10"/>
        <v/>
      </c>
      <c r="K347" s="16" t="str">
        <f>IF(F347&lt;&gt;"",IF(F347&gt;Lists!$L$10,"Late","On Time"),"")</f>
        <v/>
      </c>
      <c r="L347" s="16" t="str">
        <f>IF(G347&lt;&gt;"",IF(G347&lt;Lists!$L$11,"Early","On Time"),"")</f>
        <v/>
      </c>
      <c r="M347" s="9" t="str">
        <f t="shared" si="11"/>
        <v/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</row>
    <row r="348" spans="1:45" x14ac:dyDescent="0.3">
      <c r="A348" s="18"/>
      <c r="B348" s="9"/>
      <c r="C348" s="9" t="str">
        <f>IFERROR(INDEX('Employee Master'!$B$10:$B$109,MATCH(B348,'Employee Master'!$A$10:$A$109,0)),"")</f>
        <v/>
      </c>
      <c r="D348" s="9" t="str">
        <f>IFERROR(INDEX('Employee Master'!$H$10:$H$109,MATCH(B348,'Employee Master'!$A$10:$A$109,0)),"")</f>
        <v/>
      </c>
      <c r="E348" s="16"/>
      <c r="F348" s="19"/>
      <c r="G348" s="19"/>
      <c r="H348" s="16">
        <v>0</v>
      </c>
      <c r="I348" s="9"/>
      <c r="J348" s="16" t="str">
        <f t="shared" si="10"/>
        <v/>
      </c>
      <c r="K348" s="16" t="str">
        <f>IF(F348&lt;&gt;"",IF(F348&gt;Lists!$L$10,"Late","On Time"),"")</f>
        <v/>
      </c>
      <c r="L348" s="16" t="str">
        <f>IF(G348&lt;&gt;"",IF(G348&lt;Lists!$L$11,"Early","On Time"),"")</f>
        <v/>
      </c>
      <c r="M348" s="9" t="str">
        <f t="shared" si="11"/>
        <v/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</row>
    <row r="349" spans="1:45" x14ac:dyDescent="0.3">
      <c r="A349" s="18"/>
      <c r="B349" s="9"/>
      <c r="C349" s="9" t="str">
        <f>IFERROR(INDEX('Employee Master'!$B$10:$B$109,MATCH(B349,'Employee Master'!$A$10:$A$109,0)),"")</f>
        <v/>
      </c>
      <c r="D349" s="9" t="str">
        <f>IFERROR(INDEX('Employee Master'!$H$10:$H$109,MATCH(B349,'Employee Master'!$A$10:$A$109,0)),"")</f>
        <v/>
      </c>
      <c r="E349" s="16"/>
      <c r="F349" s="19"/>
      <c r="G349" s="19"/>
      <c r="H349" s="16">
        <v>0</v>
      </c>
      <c r="I349" s="9"/>
      <c r="J349" s="16" t="str">
        <f t="shared" si="10"/>
        <v/>
      </c>
      <c r="K349" s="16" t="str">
        <f>IF(F349&lt;&gt;"",IF(F349&gt;Lists!$L$10,"Late","On Time"),"")</f>
        <v/>
      </c>
      <c r="L349" s="16" t="str">
        <f>IF(G349&lt;&gt;"",IF(G349&lt;Lists!$L$11,"Early","On Time"),"")</f>
        <v/>
      </c>
      <c r="M349" s="9" t="str">
        <f t="shared" si="11"/>
        <v/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</row>
    <row r="350" spans="1:45" x14ac:dyDescent="0.3">
      <c r="A350" s="18"/>
      <c r="B350" s="9"/>
      <c r="C350" s="9" t="str">
        <f>IFERROR(INDEX('Employee Master'!$B$10:$B$109,MATCH(B350,'Employee Master'!$A$10:$A$109,0)),"")</f>
        <v/>
      </c>
      <c r="D350" s="9" t="str">
        <f>IFERROR(INDEX('Employee Master'!$H$10:$H$109,MATCH(B350,'Employee Master'!$A$10:$A$109,0)),"")</f>
        <v/>
      </c>
      <c r="E350" s="16"/>
      <c r="F350" s="19"/>
      <c r="G350" s="19"/>
      <c r="H350" s="16">
        <v>0</v>
      </c>
      <c r="I350" s="9"/>
      <c r="J350" s="16" t="str">
        <f t="shared" si="10"/>
        <v/>
      </c>
      <c r="K350" s="16" t="str">
        <f>IF(F350&lt;&gt;"",IF(F350&gt;Lists!$L$10,"Late","On Time"),"")</f>
        <v/>
      </c>
      <c r="L350" s="16" t="str">
        <f>IF(G350&lt;&gt;"",IF(G350&lt;Lists!$L$11,"Early","On Time"),"")</f>
        <v/>
      </c>
      <c r="M350" s="9" t="str">
        <f t="shared" si="11"/>
        <v/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</row>
    <row r="351" spans="1:45" x14ac:dyDescent="0.3">
      <c r="A351" s="18"/>
      <c r="B351" s="9"/>
      <c r="C351" s="9" t="str">
        <f>IFERROR(INDEX('Employee Master'!$B$10:$B$109,MATCH(B351,'Employee Master'!$A$10:$A$109,0)),"")</f>
        <v/>
      </c>
      <c r="D351" s="9" t="str">
        <f>IFERROR(INDEX('Employee Master'!$H$10:$H$109,MATCH(B351,'Employee Master'!$A$10:$A$109,0)),"")</f>
        <v/>
      </c>
      <c r="E351" s="16"/>
      <c r="F351" s="19"/>
      <c r="G351" s="19"/>
      <c r="H351" s="16">
        <v>0</v>
      </c>
      <c r="I351" s="9"/>
      <c r="J351" s="16" t="str">
        <f t="shared" si="10"/>
        <v/>
      </c>
      <c r="K351" s="16" t="str">
        <f>IF(F351&lt;&gt;"",IF(F351&gt;Lists!$L$10,"Late","On Time"),"")</f>
        <v/>
      </c>
      <c r="L351" s="16" t="str">
        <f>IF(G351&lt;&gt;"",IF(G351&lt;Lists!$L$11,"Early","On Time"),"")</f>
        <v/>
      </c>
      <c r="M351" s="9" t="str">
        <f t="shared" si="11"/>
        <v/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</row>
    <row r="352" spans="1:45" x14ac:dyDescent="0.3">
      <c r="A352" s="18"/>
      <c r="B352" s="9"/>
      <c r="C352" s="9" t="str">
        <f>IFERROR(INDEX('Employee Master'!$B$10:$B$109,MATCH(B352,'Employee Master'!$A$10:$A$109,0)),"")</f>
        <v/>
      </c>
      <c r="D352" s="9" t="str">
        <f>IFERROR(INDEX('Employee Master'!$H$10:$H$109,MATCH(B352,'Employee Master'!$A$10:$A$109,0)),"")</f>
        <v/>
      </c>
      <c r="E352" s="16"/>
      <c r="F352" s="19"/>
      <c r="G352" s="19"/>
      <c r="H352" s="16">
        <v>0</v>
      </c>
      <c r="I352" s="9"/>
      <c r="J352" s="16" t="str">
        <f t="shared" si="10"/>
        <v/>
      </c>
      <c r="K352" s="16" t="str">
        <f>IF(F352&lt;&gt;"",IF(F352&gt;Lists!$L$10,"Late","On Time"),"")</f>
        <v/>
      </c>
      <c r="L352" s="16" t="str">
        <f>IF(G352&lt;&gt;"",IF(G352&lt;Lists!$L$11,"Early","On Time"),"")</f>
        <v/>
      </c>
      <c r="M352" s="9" t="str">
        <f t="shared" si="11"/>
        <v/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</row>
    <row r="353" spans="1:45" x14ac:dyDescent="0.3">
      <c r="A353" s="18"/>
      <c r="B353" s="9"/>
      <c r="C353" s="9" t="str">
        <f>IFERROR(INDEX('Employee Master'!$B$10:$B$109,MATCH(B353,'Employee Master'!$A$10:$A$109,0)),"")</f>
        <v/>
      </c>
      <c r="D353" s="9" t="str">
        <f>IFERROR(INDEX('Employee Master'!$H$10:$H$109,MATCH(B353,'Employee Master'!$A$10:$A$109,0)),"")</f>
        <v/>
      </c>
      <c r="E353" s="16"/>
      <c r="F353" s="19"/>
      <c r="G353" s="19"/>
      <c r="H353" s="16">
        <v>0</v>
      </c>
      <c r="I353" s="9"/>
      <c r="J353" s="16" t="str">
        <f t="shared" si="10"/>
        <v/>
      </c>
      <c r="K353" s="16" t="str">
        <f>IF(F353&lt;&gt;"",IF(F353&gt;Lists!$L$10,"Late","On Time"),"")</f>
        <v/>
      </c>
      <c r="L353" s="16" t="str">
        <f>IF(G353&lt;&gt;"",IF(G353&lt;Lists!$L$11,"Early","On Time"),"")</f>
        <v/>
      </c>
      <c r="M353" s="9" t="str">
        <f t="shared" si="11"/>
        <v/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</row>
    <row r="354" spans="1:45" x14ac:dyDescent="0.3">
      <c r="A354" s="18"/>
      <c r="B354" s="9"/>
      <c r="C354" s="9" t="str">
        <f>IFERROR(INDEX('Employee Master'!$B$10:$B$109,MATCH(B354,'Employee Master'!$A$10:$A$109,0)),"")</f>
        <v/>
      </c>
      <c r="D354" s="9" t="str">
        <f>IFERROR(INDEX('Employee Master'!$H$10:$H$109,MATCH(B354,'Employee Master'!$A$10:$A$109,0)),"")</f>
        <v/>
      </c>
      <c r="E354" s="16"/>
      <c r="F354" s="19"/>
      <c r="G354" s="19"/>
      <c r="H354" s="16">
        <v>0</v>
      </c>
      <c r="I354" s="9"/>
      <c r="J354" s="16" t="str">
        <f t="shared" si="10"/>
        <v/>
      </c>
      <c r="K354" s="16" t="str">
        <f>IF(F354&lt;&gt;"",IF(F354&gt;Lists!$L$10,"Late","On Time"),"")</f>
        <v/>
      </c>
      <c r="L354" s="16" t="str">
        <f>IF(G354&lt;&gt;"",IF(G354&lt;Lists!$L$11,"Early","On Time"),"")</f>
        <v/>
      </c>
      <c r="M354" s="9" t="str">
        <f t="shared" si="11"/>
        <v/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</row>
    <row r="355" spans="1:45" x14ac:dyDescent="0.3">
      <c r="A355" s="18"/>
      <c r="B355" s="9"/>
      <c r="C355" s="9" t="str">
        <f>IFERROR(INDEX('Employee Master'!$B$10:$B$109,MATCH(B355,'Employee Master'!$A$10:$A$109,0)),"")</f>
        <v/>
      </c>
      <c r="D355" s="9" t="str">
        <f>IFERROR(INDEX('Employee Master'!$H$10:$H$109,MATCH(B355,'Employee Master'!$A$10:$A$109,0)),"")</f>
        <v/>
      </c>
      <c r="E355" s="16"/>
      <c r="F355" s="19"/>
      <c r="G355" s="19"/>
      <c r="H355" s="16">
        <v>0</v>
      </c>
      <c r="I355" s="9"/>
      <c r="J355" s="16" t="str">
        <f t="shared" si="10"/>
        <v/>
      </c>
      <c r="K355" s="16" t="str">
        <f>IF(F355&lt;&gt;"",IF(F355&gt;Lists!$L$10,"Late","On Time"),"")</f>
        <v/>
      </c>
      <c r="L355" s="16" t="str">
        <f>IF(G355&lt;&gt;"",IF(G355&lt;Lists!$L$11,"Early","On Time"),"")</f>
        <v/>
      </c>
      <c r="M355" s="9" t="str">
        <f t="shared" si="11"/>
        <v/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</row>
    <row r="356" spans="1:45" x14ac:dyDescent="0.3">
      <c r="A356" s="18"/>
      <c r="B356" s="9"/>
      <c r="C356" s="9" t="str">
        <f>IFERROR(INDEX('Employee Master'!$B$10:$B$109,MATCH(B356,'Employee Master'!$A$10:$A$109,0)),"")</f>
        <v/>
      </c>
      <c r="D356" s="9" t="str">
        <f>IFERROR(INDEX('Employee Master'!$H$10:$H$109,MATCH(B356,'Employee Master'!$A$10:$A$109,0)),"")</f>
        <v/>
      </c>
      <c r="E356" s="16"/>
      <c r="F356" s="19"/>
      <c r="G356" s="19"/>
      <c r="H356" s="16">
        <v>0</v>
      </c>
      <c r="I356" s="9"/>
      <c r="J356" s="16" t="str">
        <f t="shared" si="10"/>
        <v/>
      </c>
      <c r="K356" s="16" t="str">
        <f>IF(F356&lt;&gt;"",IF(F356&gt;Lists!$L$10,"Late","On Time"),"")</f>
        <v/>
      </c>
      <c r="L356" s="16" t="str">
        <f>IF(G356&lt;&gt;"",IF(G356&lt;Lists!$L$11,"Early","On Time"),"")</f>
        <v/>
      </c>
      <c r="M356" s="9" t="str">
        <f t="shared" si="11"/>
        <v/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</row>
    <row r="357" spans="1:45" x14ac:dyDescent="0.3">
      <c r="A357" s="18"/>
      <c r="B357" s="9"/>
      <c r="C357" s="9" t="str">
        <f>IFERROR(INDEX('Employee Master'!$B$10:$B$109,MATCH(B357,'Employee Master'!$A$10:$A$109,0)),"")</f>
        <v/>
      </c>
      <c r="D357" s="9" t="str">
        <f>IFERROR(INDEX('Employee Master'!$H$10:$H$109,MATCH(B357,'Employee Master'!$A$10:$A$109,0)),"")</f>
        <v/>
      </c>
      <c r="E357" s="16"/>
      <c r="F357" s="19"/>
      <c r="G357" s="19"/>
      <c r="H357" s="16">
        <v>0</v>
      </c>
      <c r="I357" s="9"/>
      <c r="J357" s="16" t="str">
        <f t="shared" si="10"/>
        <v/>
      </c>
      <c r="K357" s="16" t="str">
        <f>IF(F357&lt;&gt;"",IF(F357&gt;Lists!$L$10,"Late","On Time"),"")</f>
        <v/>
      </c>
      <c r="L357" s="16" t="str">
        <f>IF(G357&lt;&gt;"",IF(G357&lt;Lists!$L$11,"Early","On Time"),"")</f>
        <v/>
      </c>
      <c r="M357" s="9" t="str">
        <f t="shared" si="11"/>
        <v/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</row>
    <row r="358" spans="1:45" x14ac:dyDescent="0.3">
      <c r="A358" s="18"/>
      <c r="B358" s="9"/>
      <c r="C358" s="9" t="str">
        <f>IFERROR(INDEX('Employee Master'!$B$10:$B$109,MATCH(B358,'Employee Master'!$A$10:$A$109,0)),"")</f>
        <v/>
      </c>
      <c r="D358" s="9" t="str">
        <f>IFERROR(INDEX('Employee Master'!$H$10:$H$109,MATCH(B358,'Employee Master'!$A$10:$A$109,0)),"")</f>
        <v/>
      </c>
      <c r="E358" s="16"/>
      <c r="F358" s="19"/>
      <c r="G358" s="19"/>
      <c r="H358" s="16">
        <v>0</v>
      </c>
      <c r="I358" s="9"/>
      <c r="J358" s="16" t="str">
        <f t="shared" si="10"/>
        <v/>
      </c>
      <c r="K358" s="16" t="str">
        <f>IF(F358&lt;&gt;"",IF(F358&gt;Lists!$L$10,"Late","On Time"),"")</f>
        <v/>
      </c>
      <c r="L358" s="16" t="str">
        <f>IF(G358&lt;&gt;"",IF(G358&lt;Lists!$L$11,"Early","On Time"),"")</f>
        <v/>
      </c>
      <c r="M358" s="9" t="str">
        <f t="shared" si="11"/>
        <v/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</row>
    <row r="359" spans="1:45" x14ac:dyDescent="0.3">
      <c r="A359" s="18"/>
      <c r="B359" s="9"/>
      <c r="C359" s="9" t="str">
        <f>IFERROR(INDEX('Employee Master'!$B$10:$B$109,MATCH(B359,'Employee Master'!$A$10:$A$109,0)),"")</f>
        <v/>
      </c>
      <c r="D359" s="9" t="str">
        <f>IFERROR(INDEX('Employee Master'!$H$10:$H$109,MATCH(B359,'Employee Master'!$A$10:$A$109,0)),"")</f>
        <v/>
      </c>
      <c r="E359" s="16"/>
      <c r="F359" s="19"/>
      <c r="G359" s="19"/>
      <c r="H359" s="16">
        <v>0</v>
      </c>
      <c r="I359" s="9"/>
      <c r="J359" s="16" t="str">
        <f t="shared" si="10"/>
        <v/>
      </c>
      <c r="K359" s="16" t="str">
        <f>IF(F359&lt;&gt;"",IF(F359&gt;Lists!$L$10,"Late","On Time"),"")</f>
        <v/>
      </c>
      <c r="L359" s="16" t="str">
        <f>IF(G359&lt;&gt;"",IF(G359&lt;Lists!$L$11,"Early","On Time"),"")</f>
        <v/>
      </c>
      <c r="M359" s="9" t="str">
        <f t="shared" si="11"/>
        <v/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</row>
    <row r="360" spans="1:45" x14ac:dyDescent="0.3">
      <c r="A360" s="18"/>
      <c r="B360" s="9"/>
      <c r="C360" s="9" t="str">
        <f>IFERROR(INDEX('Employee Master'!$B$10:$B$109,MATCH(B360,'Employee Master'!$A$10:$A$109,0)),"")</f>
        <v/>
      </c>
      <c r="D360" s="9" t="str">
        <f>IFERROR(INDEX('Employee Master'!$H$10:$H$109,MATCH(B360,'Employee Master'!$A$10:$A$109,0)),"")</f>
        <v/>
      </c>
      <c r="E360" s="16"/>
      <c r="F360" s="19"/>
      <c r="G360" s="19"/>
      <c r="H360" s="16">
        <v>0</v>
      </c>
      <c r="I360" s="9"/>
      <c r="J360" s="16" t="str">
        <f t="shared" si="10"/>
        <v/>
      </c>
      <c r="K360" s="16" t="str">
        <f>IF(F360&lt;&gt;"",IF(F360&gt;Lists!$L$10,"Late","On Time"),"")</f>
        <v/>
      </c>
      <c r="L360" s="16" t="str">
        <f>IF(G360&lt;&gt;"",IF(G360&lt;Lists!$L$11,"Early","On Time"),"")</f>
        <v/>
      </c>
      <c r="M360" s="9" t="str">
        <f t="shared" si="11"/>
        <v/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45" x14ac:dyDescent="0.3">
      <c r="A361" s="18"/>
      <c r="B361" s="9"/>
      <c r="C361" s="9" t="str">
        <f>IFERROR(INDEX('Employee Master'!$B$10:$B$109,MATCH(B361,'Employee Master'!$A$10:$A$109,0)),"")</f>
        <v/>
      </c>
      <c r="D361" s="9" t="str">
        <f>IFERROR(INDEX('Employee Master'!$H$10:$H$109,MATCH(B361,'Employee Master'!$A$10:$A$109,0)),"")</f>
        <v/>
      </c>
      <c r="E361" s="16"/>
      <c r="F361" s="19"/>
      <c r="G361" s="19"/>
      <c r="H361" s="16">
        <v>0</v>
      </c>
      <c r="I361" s="9"/>
      <c r="J361" s="16" t="str">
        <f t="shared" si="10"/>
        <v/>
      </c>
      <c r="K361" s="16" t="str">
        <f>IF(F361&lt;&gt;"",IF(F361&gt;Lists!$L$10,"Late","On Time"),"")</f>
        <v/>
      </c>
      <c r="L361" s="16" t="str">
        <f>IF(G361&lt;&gt;"",IF(G361&lt;Lists!$L$11,"Early","On Time"),"")</f>
        <v/>
      </c>
      <c r="M361" s="9" t="str">
        <f t="shared" si="11"/>
        <v/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45" x14ac:dyDescent="0.3">
      <c r="A362" s="18"/>
      <c r="B362" s="9"/>
      <c r="C362" s="9" t="str">
        <f>IFERROR(INDEX('Employee Master'!$B$10:$B$109,MATCH(B362,'Employee Master'!$A$10:$A$109,0)),"")</f>
        <v/>
      </c>
      <c r="D362" s="9" t="str">
        <f>IFERROR(INDEX('Employee Master'!$H$10:$H$109,MATCH(B362,'Employee Master'!$A$10:$A$109,0)),"")</f>
        <v/>
      </c>
      <c r="E362" s="16"/>
      <c r="F362" s="19"/>
      <c r="G362" s="19"/>
      <c r="H362" s="16">
        <v>0</v>
      </c>
      <c r="I362" s="9"/>
      <c r="J362" s="16" t="str">
        <f t="shared" si="10"/>
        <v/>
      </c>
      <c r="K362" s="16" t="str">
        <f>IF(F362&lt;&gt;"",IF(F362&gt;Lists!$L$10,"Late","On Time"),"")</f>
        <v/>
      </c>
      <c r="L362" s="16" t="str">
        <f>IF(G362&lt;&gt;"",IF(G362&lt;Lists!$L$11,"Early","On Time"),"")</f>
        <v/>
      </c>
      <c r="M362" s="9" t="str">
        <f t="shared" si="11"/>
        <v/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45" x14ac:dyDescent="0.3">
      <c r="A363" s="18"/>
      <c r="B363" s="9"/>
      <c r="C363" s="9" t="str">
        <f>IFERROR(INDEX('Employee Master'!$B$10:$B$109,MATCH(B363,'Employee Master'!$A$10:$A$109,0)),"")</f>
        <v/>
      </c>
      <c r="D363" s="9" t="str">
        <f>IFERROR(INDEX('Employee Master'!$H$10:$H$109,MATCH(B363,'Employee Master'!$A$10:$A$109,0)),"")</f>
        <v/>
      </c>
      <c r="E363" s="16"/>
      <c r="F363" s="19"/>
      <c r="G363" s="19"/>
      <c r="H363" s="16">
        <v>0</v>
      </c>
      <c r="I363" s="9"/>
      <c r="J363" s="16" t="str">
        <f t="shared" si="10"/>
        <v/>
      </c>
      <c r="K363" s="16" t="str">
        <f>IF(F363&lt;&gt;"",IF(F363&gt;Lists!$L$10,"Late","On Time"),"")</f>
        <v/>
      </c>
      <c r="L363" s="16" t="str">
        <f>IF(G363&lt;&gt;"",IF(G363&lt;Lists!$L$11,"Early","On Time"),"")</f>
        <v/>
      </c>
      <c r="M363" s="9" t="str">
        <f t="shared" si="11"/>
        <v/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</row>
    <row r="364" spans="1:45" x14ac:dyDescent="0.3">
      <c r="A364" s="18"/>
      <c r="B364" s="9"/>
      <c r="C364" s="9" t="str">
        <f>IFERROR(INDEX('Employee Master'!$B$10:$B$109,MATCH(B364,'Employee Master'!$A$10:$A$109,0)),"")</f>
        <v/>
      </c>
      <c r="D364" s="9" t="str">
        <f>IFERROR(INDEX('Employee Master'!$H$10:$H$109,MATCH(B364,'Employee Master'!$A$10:$A$109,0)),"")</f>
        <v/>
      </c>
      <c r="E364" s="16"/>
      <c r="F364" s="19"/>
      <c r="G364" s="19"/>
      <c r="H364" s="16">
        <v>0</v>
      </c>
      <c r="I364" s="9"/>
      <c r="J364" s="16" t="str">
        <f t="shared" si="10"/>
        <v/>
      </c>
      <c r="K364" s="16" t="str">
        <f>IF(F364&lt;&gt;"",IF(F364&gt;Lists!$L$10,"Late","On Time"),"")</f>
        <v/>
      </c>
      <c r="L364" s="16" t="str">
        <f>IF(G364&lt;&gt;"",IF(G364&lt;Lists!$L$11,"Early","On Time"),"")</f>
        <v/>
      </c>
      <c r="M364" s="9" t="str">
        <f t="shared" si="11"/>
        <v/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</row>
    <row r="365" spans="1:45" x14ac:dyDescent="0.3">
      <c r="A365" s="18"/>
      <c r="B365" s="9"/>
      <c r="C365" s="9" t="str">
        <f>IFERROR(INDEX('Employee Master'!$B$10:$B$109,MATCH(B365,'Employee Master'!$A$10:$A$109,0)),"")</f>
        <v/>
      </c>
      <c r="D365" s="9" t="str">
        <f>IFERROR(INDEX('Employee Master'!$H$10:$H$109,MATCH(B365,'Employee Master'!$A$10:$A$109,0)),"")</f>
        <v/>
      </c>
      <c r="E365" s="16"/>
      <c r="F365" s="19"/>
      <c r="G365" s="19"/>
      <c r="H365" s="16">
        <v>0</v>
      </c>
      <c r="I365" s="9"/>
      <c r="J365" s="16" t="str">
        <f t="shared" si="10"/>
        <v/>
      </c>
      <c r="K365" s="16" t="str">
        <f>IF(F365&lt;&gt;"",IF(F365&gt;Lists!$L$10,"Late","On Time"),"")</f>
        <v/>
      </c>
      <c r="L365" s="16" t="str">
        <f>IF(G365&lt;&gt;"",IF(G365&lt;Lists!$L$11,"Early","On Time"),"")</f>
        <v/>
      </c>
      <c r="M365" s="9" t="str">
        <f t="shared" si="11"/>
        <v/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</row>
    <row r="366" spans="1:45" x14ac:dyDescent="0.3">
      <c r="A366" s="18"/>
      <c r="B366" s="9"/>
      <c r="C366" s="9" t="str">
        <f>IFERROR(INDEX('Employee Master'!$B$10:$B$109,MATCH(B366,'Employee Master'!$A$10:$A$109,0)),"")</f>
        <v/>
      </c>
      <c r="D366" s="9" t="str">
        <f>IFERROR(INDEX('Employee Master'!$H$10:$H$109,MATCH(B366,'Employee Master'!$A$10:$A$109,0)),"")</f>
        <v/>
      </c>
      <c r="E366" s="16"/>
      <c r="F366" s="19"/>
      <c r="G366" s="19"/>
      <c r="H366" s="16">
        <v>0</v>
      </c>
      <c r="I366" s="9"/>
      <c r="J366" s="16" t="str">
        <f t="shared" si="10"/>
        <v/>
      </c>
      <c r="K366" s="16" t="str">
        <f>IF(F366&lt;&gt;"",IF(F366&gt;Lists!$L$10,"Late","On Time"),"")</f>
        <v/>
      </c>
      <c r="L366" s="16" t="str">
        <f>IF(G366&lt;&gt;"",IF(G366&lt;Lists!$L$11,"Early","On Time"),"")</f>
        <v/>
      </c>
      <c r="M366" s="9" t="str">
        <f t="shared" si="11"/>
        <v/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</row>
    <row r="367" spans="1:45" x14ac:dyDescent="0.3">
      <c r="A367" s="18"/>
      <c r="B367" s="9"/>
      <c r="C367" s="9" t="str">
        <f>IFERROR(INDEX('Employee Master'!$B$10:$B$109,MATCH(B367,'Employee Master'!$A$10:$A$109,0)),"")</f>
        <v/>
      </c>
      <c r="D367" s="9" t="str">
        <f>IFERROR(INDEX('Employee Master'!$H$10:$H$109,MATCH(B367,'Employee Master'!$A$10:$A$109,0)),"")</f>
        <v/>
      </c>
      <c r="E367" s="16"/>
      <c r="F367" s="19"/>
      <c r="G367" s="19"/>
      <c r="H367" s="16">
        <v>0</v>
      </c>
      <c r="I367" s="9"/>
      <c r="J367" s="16" t="str">
        <f t="shared" si="10"/>
        <v/>
      </c>
      <c r="K367" s="16" t="str">
        <f>IF(F367&lt;&gt;"",IF(F367&gt;Lists!$L$10,"Late","On Time"),"")</f>
        <v/>
      </c>
      <c r="L367" s="16" t="str">
        <f>IF(G367&lt;&gt;"",IF(G367&lt;Lists!$L$11,"Early","On Time"),"")</f>
        <v/>
      </c>
      <c r="M367" s="9" t="str">
        <f t="shared" si="11"/>
        <v/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</row>
    <row r="368" spans="1:45" x14ac:dyDescent="0.3">
      <c r="A368" s="18"/>
      <c r="B368" s="9"/>
      <c r="C368" s="9" t="str">
        <f>IFERROR(INDEX('Employee Master'!$B$10:$B$109,MATCH(B368,'Employee Master'!$A$10:$A$109,0)),"")</f>
        <v/>
      </c>
      <c r="D368" s="9" t="str">
        <f>IFERROR(INDEX('Employee Master'!$H$10:$H$109,MATCH(B368,'Employee Master'!$A$10:$A$109,0)),"")</f>
        <v/>
      </c>
      <c r="E368" s="16"/>
      <c r="F368" s="19"/>
      <c r="G368" s="19"/>
      <c r="H368" s="16">
        <v>0</v>
      </c>
      <c r="I368" s="9"/>
      <c r="J368" s="16" t="str">
        <f t="shared" si="10"/>
        <v/>
      </c>
      <c r="K368" s="16" t="str">
        <f>IF(F368&lt;&gt;"",IF(F368&gt;Lists!$L$10,"Late","On Time"),"")</f>
        <v/>
      </c>
      <c r="L368" s="16" t="str">
        <f>IF(G368&lt;&gt;"",IF(G368&lt;Lists!$L$11,"Early","On Time"),"")</f>
        <v/>
      </c>
      <c r="M368" s="9" t="str">
        <f t="shared" si="11"/>
        <v/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</row>
    <row r="369" spans="1:45" x14ac:dyDescent="0.3">
      <c r="A369" s="18"/>
      <c r="B369" s="9"/>
      <c r="C369" s="9" t="str">
        <f>IFERROR(INDEX('Employee Master'!$B$10:$B$109,MATCH(B369,'Employee Master'!$A$10:$A$109,0)),"")</f>
        <v/>
      </c>
      <c r="D369" s="9" t="str">
        <f>IFERROR(INDEX('Employee Master'!$H$10:$H$109,MATCH(B369,'Employee Master'!$A$10:$A$109,0)),"")</f>
        <v/>
      </c>
      <c r="E369" s="16"/>
      <c r="F369" s="19"/>
      <c r="G369" s="19"/>
      <c r="H369" s="16">
        <v>0</v>
      </c>
      <c r="I369" s="9"/>
      <c r="J369" s="16" t="str">
        <f t="shared" si="10"/>
        <v/>
      </c>
      <c r="K369" s="16" t="str">
        <f>IF(F369&lt;&gt;"",IF(F369&gt;Lists!$L$10,"Late","On Time"),"")</f>
        <v/>
      </c>
      <c r="L369" s="16" t="str">
        <f>IF(G369&lt;&gt;"",IF(G369&lt;Lists!$L$11,"Early","On Time"),"")</f>
        <v/>
      </c>
      <c r="M369" s="9" t="str">
        <f t="shared" si="11"/>
        <v/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</row>
    <row r="370" spans="1:45" x14ac:dyDescent="0.3">
      <c r="A370" s="18"/>
      <c r="B370" s="9"/>
      <c r="C370" s="9" t="str">
        <f>IFERROR(INDEX('Employee Master'!$B$10:$B$109,MATCH(B370,'Employee Master'!$A$10:$A$109,0)),"")</f>
        <v/>
      </c>
      <c r="D370" s="9" t="str">
        <f>IFERROR(INDEX('Employee Master'!$H$10:$H$109,MATCH(B370,'Employee Master'!$A$10:$A$109,0)),"")</f>
        <v/>
      </c>
      <c r="E370" s="16"/>
      <c r="F370" s="19"/>
      <c r="G370" s="19"/>
      <c r="H370" s="16">
        <v>0</v>
      </c>
      <c r="I370" s="9"/>
      <c r="J370" s="16" t="str">
        <f t="shared" si="10"/>
        <v/>
      </c>
      <c r="K370" s="16" t="str">
        <f>IF(F370&lt;&gt;"",IF(F370&gt;Lists!$L$10,"Late","On Time"),"")</f>
        <v/>
      </c>
      <c r="L370" s="16" t="str">
        <f>IF(G370&lt;&gt;"",IF(G370&lt;Lists!$L$11,"Early","On Time"),"")</f>
        <v/>
      </c>
      <c r="M370" s="9" t="str">
        <f t="shared" si="11"/>
        <v/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</row>
    <row r="371" spans="1:45" x14ac:dyDescent="0.3">
      <c r="A371" s="18"/>
      <c r="B371" s="9"/>
      <c r="C371" s="9" t="str">
        <f>IFERROR(INDEX('Employee Master'!$B$10:$B$109,MATCH(B371,'Employee Master'!$A$10:$A$109,0)),"")</f>
        <v/>
      </c>
      <c r="D371" s="9" t="str">
        <f>IFERROR(INDEX('Employee Master'!$H$10:$H$109,MATCH(B371,'Employee Master'!$A$10:$A$109,0)),"")</f>
        <v/>
      </c>
      <c r="E371" s="16"/>
      <c r="F371" s="19"/>
      <c r="G371" s="19"/>
      <c r="H371" s="16">
        <v>0</v>
      </c>
      <c r="I371" s="9"/>
      <c r="J371" s="16" t="str">
        <f t="shared" si="10"/>
        <v/>
      </c>
      <c r="K371" s="16" t="str">
        <f>IF(F371&lt;&gt;"",IF(F371&gt;Lists!$L$10,"Late","On Time"),"")</f>
        <v/>
      </c>
      <c r="L371" s="16" t="str">
        <f>IF(G371&lt;&gt;"",IF(G371&lt;Lists!$L$11,"Early","On Time"),"")</f>
        <v/>
      </c>
      <c r="M371" s="9" t="str">
        <f t="shared" si="11"/>
        <v/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45" x14ac:dyDescent="0.3">
      <c r="A372" s="18"/>
      <c r="B372" s="9"/>
      <c r="C372" s="9" t="str">
        <f>IFERROR(INDEX('Employee Master'!$B$10:$B$109,MATCH(B372,'Employee Master'!$A$10:$A$109,0)),"")</f>
        <v/>
      </c>
      <c r="D372" s="9" t="str">
        <f>IFERROR(INDEX('Employee Master'!$H$10:$H$109,MATCH(B372,'Employee Master'!$A$10:$A$109,0)),"")</f>
        <v/>
      </c>
      <c r="E372" s="16"/>
      <c r="F372" s="19"/>
      <c r="G372" s="19"/>
      <c r="H372" s="16">
        <v>0</v>
      </c>
      <c r="I372" s="9"/>
      <c r="J372" s="16" t="str">
        <f t="shared" si="10"/>
        <v/>
      </c>
      <c r="K372" s="16" t="str">
        <f>IF(F372&lt;&gt;"",IF(F372&gt;Lists!$L$10,"Late","On Time"),"")</f>
        <v/>
      </c>
      <c r="L372" s="16" t="str">
        <f>IF(G372&lt;&gt;"",IF(G372&lt;Lists!$L$11,"Early","On Time"),"")</f>
        <v/>
      </c>
      <c r="M372" s="9" t="str">
        <f t="shared" si="11"/>
        <v/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</row>
    <row r="373" spans="1:45" x14ac:dyDescent="0.3">
      <c r="A373" s="18"/>
      <c r="B373" s="9"/>
      <c r="C373" s="9" t="str">
        <f>IFERROR(INDEX('Employee Master'!$B$10:$B$109,MATCH(B373,'Employee Master'!$A$10:$A$109,0)),"")</f>
        <v/>
      </c>
      <c r="D373" s="9" t="str">
        <f>IFERROR(INDEX('Employee Master'!$H$10:$H$109,MATCH(B373,'Employee Master'!$A$10:$A$109,0)),"")</f>
        <v/>
      </c>
      <c r="E373" s="16"/>
      <c r="F373" s="19"/>
      <c r="G373" s="19"/>
      <c r="H373" s="16">
        <v>0</v>
      </c>
      <c r="I373" s="9"/>
      <c r="J373" s="16" t="str">
        <f t="shared" si="10"/>
        <v/>
      </c>
      <c r="K373" s="16" t="str">
        <f>IF(F373&lt;&gt;"",IF(F373&gt;Lists!$L$10,"Late","On Time"),"")</f>
        <v/>
      </c>
      <c r="L373" s="16" t="str">
        <f>IF(G373&lt;&gt;"",IF(G373&lt;Lists!$L$11,"Early","On Time"),"")</f>
        <v/>
      </c>
      <c r="M373" s="9" t="str">
        <f t="shared" si="11"/>
        <v/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</row>
    <row r="374" spans="1:45" x14ac:dyDescent="0.3">
      <c r="A374" s="18"/>
      <c r="B374" s="9"/>
      <c r="C374" s="9" t="str">
        <f>IFERROR(INDEX('Employee Master'!$B$10:$B$109,MATCH(B374,'Employee Master'!$A$10:$A$109,0)),"")</f>
        <v/>
      </c>
      <c r="D374" s="9" t="str">
        <f>IFERROR(INDEX('Employee Master'!$H$10:$H$109,MATCH(B374,'Employee Master'!$A$10:$A$109,0)),"")</f>
        <v/>
      </c>
      <c r="E374" s="16"/>
      <c r="F374" s="19"/>
      <c r="G374" s="19"/>
      <c r="H374" s="16">
        <v>0</v>
      </c>
      <c r="I374" s="9"/>
      <c r="J374" s="16" t="str">
        <f t="shared" si="10"/>
        <v/>
      </c>
      <c r="K374" s="16" t="str">
        <f>IF(F374&lt;&gt;"",IF(F374&gt;Lists!$L$10,"Late","On Time"),"")</f>
        <v/>
      </c>
      <c r="L374" s="16" t="str">
        <f>IF(G374&lt;&gt;"",IF(G374&lt;Lists!$L$11,"Early","On Time"),"")</f>
        <v/>
      </c>
      <c r="M374" s="9" t="str">
        <f t="shared" si="11"/>
        <v/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45" x14ac:dyDescent="0.3">
      <c r="A375" s="18"/>
      <c r="B375" s="9"/>
      <c r="C375" s="9" t="str">
        <f>IFERROR(INDEX('Employee Master'!$B$10:$B$109,MATCH(B375,'Employee Master'!$A$10:$A$109,0)),"")</f>
        <v/>
      </c>
      <c r="D375" s="9" t="str">
        <f>IFERROR(INDEX('Employee Master'!$H$10:$H$109,MATCH(B375,'Employee Master'!$A$10:$A$109,0)),"")</f>
        <v/>
      </c>
      <c r="E375" s="16"/>
      <c r="F375" s="19"/>
      <c r="G375" s="19"/>
      <c r="H375" s="16">
        <v>0</v>
      </c>
      <c r="I375" s="9"/>
      <c r="J375" s="16" t="str">
        <f t="shared" si="10"/>
        <v/>
      </c>
      <c r="K375" s="16" t="str">
        <f>IF(F375&lt;&gt;"",IF(F375&gt;Lists!$L$10,"Late","On Time"),"")</f>
        <v/>
      </c>
      <c r="L375" s="16" t="str">
        <f>IF(G375&lt;&gt;"",IF(G375&lt;Lists!$L$11,"Early","On Time"),"")</f>
        <v/>
      </c>
      <c r="M375" s="9" t="str">
        <f t="shared" si="11"/>
        <v/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</row>
    <row r="376" spans="1:45" x14ac:dyDescent="0.3">
      <c r="A376" s="18"/>
      <c r="B376" s="9"/>
      <c r="C376" s="9" t="str">
        <f>IFERROR(INDEX('Employee Master'!$B$10:$B$109,MATCH(B376,'Employee Master'!$A$10:$A$109,0)),"")</f>
        <v/>
      </c>
      <c r="D376" s="9" t="str">
        <f>IFERROR(INDEX('Employee Master'!$H$10:$H$109,MATCH(B376,'Employee Master'!$A$10:$A$109,0)),"")</f>
        <v/>
      </c>
      <c r="E376" s="16"/>
      <c r="F376" s="19"/>
      <c r="G376" s="19"/>
      <c r="H376" s="16">
        <v>0</v>
      </c>
      <c r="I376" s="9"/>
      <c r="J376" s="16" t="str">
        <f t="shared" si="10"/>
        <v/>
      </c>
      <c r="K376" s="16" t="str">
        <f>IF(F376&lt;&gt;"",IF(F376&gt;Lists!$L$10,"Late","On Time"),"")</f>
        <v/>
      </c>
      <c r="L376" s="16" t="str">
        <f>IF(G376&lt;&gt;"",IF(G376&lt;Lists!$L$11,"Early","On Time"),"")</f>
        <v/>
      </c>
      <c r="M376" s="9" t="str">
        <f t="shared" si="11"/>
        <v/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</row>
    <row r="377" spans="1:45" x14ac:dyDescent="0.3">
      <c r="A377" s="18"/>
      <c r="B377" s="9"/>
      <c r="C377" s="9" t="str">
        <f>IFERROR(INDEX('Employee Master'!$B$10:$B$109,MATCH(B377,'Employee Master'!$A$10:$A$109,0)),"")</f>
        <v/>
      </c>
      <c r="D377" s="9" t="str">
        <f>IFERROR(INDEX('Employee Master'!$H$10:$H$109,MATCH(B377,'Employee Master'!$A$10:$A$109,0)),"")</f>
        <v/>
      </c>
      <c r="E377" s="16"/>
      <c r="F377" s="19"/>
      <c r="G377" s="19"/>
      <c r="H377" s="16">
        <v>0</v>
      </c>
      <c r="I377" s="9"/>
      <c r="J377" s="16" t="str">
        <f t="shared" si="10"/>
        <v/>
      </c>
      <c r="K377" s="16" t="str">
        <f>IF(F377&lt;&gt;"",IF(F377&gt;Lists!$L$10,"Late","On Time"),"")</f>
        <v/>
      </c>
      <c r="L377" s="16" t="str">
        <f>IF(G377&lt;&gt;"",IF(G377&lt;Lists!$L$11,"Early","On Time"),"")</f>
        <v/>
      </c>
      <c r="M377" s="9" t="str">
        <f t="shared" si="11"/>
        <v/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</row>
    <row r="378" spans="1:45" x14ac:dyDescent="0.3">
      <c r="A378" s="18"/>
      <c r="B378" s="9"/>
      <c r="C378" s="9" t="str">
        <f>IFERROR(INDEX('Employee Master'!$B$10:$B$109,MATCH(B378,'Employee Master'!$A$10:$A$109,0)),"")</f>
        <v/>
      </c>
      <c r="D378" s="9" t="str">
        <f>IFERROR(INDEX('Employee Master'!$H$10:$H$109,MATCH(B378,'Employee Master'!$A$10:$A$109,0)),"")</f>
        <v/>
      </c>
      <c r="E378" s="16"/>
      <c r="F378" s="19"/>
      <c r="G378" s="19"/>
      <c r="H378" s="16">
        <v>0</v>
      </c>
      <c r="I378" s="9"/>
      <c r="J378" s="16" t="str">
        <f t="shared" si="10"/>
        <v/>
      </c>
      <c r="K378" s="16" t="str">
        <f>IF(F378&lt;&gt;"",IF(F378&gt;Lists!$L$10,"Late","On Time"),"")</f>
        <v/>
      </c>
      <c r="L378" s="16" t="str">
        <f>IF(G378&lt;&gt;"",IF(G378&lt;Lists!$L$11,"Early","On Time"),"")</f>
        <v/>
      </c>
      <c r="M378" s="9" t="str">
        <f t="shared" si="11"/>
        <v/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</row>
    <row r="379" spans="1:45" x14ac:dyDescent="0.3">
      <c r="A379" s="18"/>
      <c r="B379" s="9"/>
      <c r="C379" s="9" t="str">
        <f>IFERROR(INDEX('Employee Master'!$B$10:$B$109,MATCH(B379,'Employee Master'!$A$10:$A$109,0)),"")</f>
        <v/>
      </c>
      <c r="D379" s="9" t="str">
        <f>IFERROR(INDEX('Employee Master'!$H$10:$H$109,MATCH(B379,'Employee Master'!$A$10:$A$109,0)),"")</f>
        <v/>
      </c>
      <c r="E379" s="16"/>
      <c r="F379" s="19"/>
      <c r="G379" s="19"/>
      <c r="H379" s="16">
        <v>0</v>
      </c>
      <c r="I379" s="9"/>
      <c r="J379" s="16" t="str">
        <f t="shared" si="10"/>
        <v/>
      </c>
      <c r="K379" s="16" t="str">
        <f>IF(F379&lt;&gt;"",IF(F379&gt;Lists!$L$10,"Late","On Time"),"")</f>
        <v/>
      </c>
      <c r="L379" s="16" t="str">
        <f>IF(G379&lt;&gt;"",IF(G379&lt;Lists!$L$11,"Early","On Time"),"")</f>
        <v/>
      </c>
      <c r="M379" s="9" t="str">
        <f t="shared" si="11"/>
        <v/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</row>
    <row r="380" spans="1:45" x14ac:dyDescent="0.3">
      <c r="A380" s="18"/>
      <c r="B380" s="9"/>
      <c r="C380" s="9" t="str">
        <f>IFERROR(INDEX('Employee Master'!$B$10:$B$109,MATCH(B380,'Employee Master'!$A$10:$A$109,0)),"")</f>
        <v/>
      </c>
      <c r="D380" s="9" t="str">
        <f>IFERROR(INDEX('Employee Master'!$H$10:$H$109,MATCH(B380,'Employee Master'!$A$10:$A$109,0)),"")</f>
        <v/>
      </c>
      <c r="E380" s="16"/>
      <c r="F380" s="19"/>
      <c r="G380" s="19"/>
      <c r="H380" s="16">
        <v>0</v>
      </c>
      <c r="I380" s="9"/>
      <c r="J380" s="16" t="str">
        <f t="shared" si="10"/>
        <v/>
      </c>
      <c r="K380" s="16" t="str">
        <f>IF(F380&lt;&gt;"",IF(F380&gt;Lists!$L$10,"Late","On Time"),"")</f>
        <v/>
      </c>
      <c r="L380" s="16" t="str">
        <f>IF(G380&lt;&gt;"",IF(G380&lt;Lists!$L$11,"Early","On Time"),"")</f>
        <v/>
      </c>
      <c r="M380" s="9" t="str">
        <f t="shared" si="11"/>
        <v/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</row>
    <row r="381" spans="1:45" x14ac:dyDescent="0.3">
      <c r="A381" s="18"/>
      <c r="B381" s="9"/>
      <c r="C381" s="9" t="str">
        <f>IFERROR(INDEX('Employee Master'!$B$10:$B$109,MATCH(B381,'Employee Master'!$A$10:$A$109,0)),"")</f>
        <v/>
      </c>
      <c r="D381" s="9" t="str">
        <f>IFERROR(INDEX('Employee Master'!$H$10:$H$109,MATCH(B381,'Employee Master'!$A$10:$A$109,0)),"")</f>
        <v/>
      </c>
      <c r="E381" s="16"/>
      <c r="F381" s="19"/>
      <c r="G381" s="19"/>
      <c r="H381" s="16">
        <v>0</v>
      </c>
      <c r="I381" s="9"/>
      <c r="J381" s="16" t="str">
        <f t="shared" si="10"/>
        <v/>
      </c>
      <c r="K381" s="16" t="str">
        <f>IF(F381&lt;&gt;"",IF(F381&gt;Lists!$L$10,"Late","On Time"),"")</f>
        <v/>
      </c>
      <c r="L381" s="16" t="str">
        <f>IF(G381&lt;&gt;"",IF(G381&lt;Lists!$L$11,"Early","On Time"),"")</f>
        <v/>
      </c>
      <c r="M381" s="9" t="str">
        <f t="shared" si="11"/>
        <v/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45" x14ac:dyDescent="0.3">
      <c r="A382" s="18"/>
      <c r="B382" s="9"/>
      <c r="C382" s="9" t="str">
        <f>IFERROR(INDEX('Employee Master'!$B$10:$B$109,MATCH(B382,'Employee Master'!$A$10:$A$109,0)),"")</f>
        <v/>
      </c>
      <c r="D382" s="9" t="str">
        <f>IFERROR(INDEX('Employee Master'!$H$10:$H$109,MATCH(B382,'Employee Master'!$A$10:$A$109,0)),"")</f>
        <v/>
      </c>
      <c r="E382" s="16"/>
      <c r="F382" s="19"/>
      <c r="G382" s="19"/>
      <c r="H382" s="16">
        <v>0</v>
      </c>
      <c r="I382" s="9"/>
      <c r="J382" s="16" t="str">
        <f t="shared" si="10"/>
        <v/>
      </c>
      <c r="K382" s="16" t="str">
        <f>IF(F382&lt;&gt;"",IF(F382&gt;Lists!$L$10,"Late","On Time"),"")</f>
        <v/>
      </c>
      <c r="L382" s="16" t="str">
        <f>IF(G382&lt;&gt;"",IF(G382&lt;Lists!$L$11,"Early","On Time"),"")</f>
        <v/>
      </c>
      <c r="M382" s="9" t="str">
        <f t="shared" si="11"/>
        <v/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</row>
    <row r="383" spans="1:45" x14ac:dyDescent="0.3">
      <c r="A383" s="18"/>
      <c r="B383" s="9"/>
      <c r="C383" s="9" t="str">
        <f>IFERROR(INDEX('Employee Master'!$B$10:$B$109,MATCH(B383,'Employee Master'!$A$10:$A$109,0)),"")</f>
        <v/>
      </c>
      <c r="D383" s="9" t="str">
        <f>IFERROR(INDEX('Employee Master'!$H$10:$H$109,MATCH(B383,'Employee Master'!$A$10:$A$109,0)),"")</f>
        <v/>
      </c>
      <c r="E383" s="16"/>
      <c r="F383" s="19"/>
      <c r="G383" s="19"/>
      <c r="H383" s="16">
        <v>0</v>
      </c>
      <c r="I383" s="9"/>
      <c r="J383" s="16" t="str">
        <f t="shared" si="10"/>
        <v/>
      </c>
      <c r="K383" s="16" t="str">
        <f>IF(F383&lt;&gt;"",IF(F383&gt;Lists!$L$10,"Late","On Time"),"")</f>
        <v/>
      </c>
      <c r="L383" s="16" t="str">
        <f>IF(G383&lt;&gt;"",IF(G383&lt;Lists!$L$11,"Early","On Time"),"")</f>
        <v/>
      </c>
      <c r="M383" s="9" t="str">
        <f t="shared" si="11"/>
        <v/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</row>
    <row r="384" spans="1:45" x14ac:dyDescent="0.3">
      <c r="A384" s="18"/>
      <c r="B384" s="9"/>
      <c r="C384" s="9" t="str">
        <f>IFERROR(INDEX('Employee Master'!$B$10:$B$109,MATCH(B384,'Employee Master'!$A$10:$A$109,0)),"")</f>
        <v/>
      </c>
      <c r="D384" s="9" t="str">
        <f>IFERROR(INDEX('Employee Master'!$H$10:$H$109,MATCH(B384,'Employee Master'!$A$10:$A$109,0)),"")</f>
        <v/>
      </c>
      <c r="E384" s="16"/>
      <c r="F384" s="19"/>
      <c r="G384" s="19"/>
      <c r="H384" s="16">
        <v>0</v>
      </c>
      <c r="I384" s="9"/>
      <c r="J384" s="16" t="str">
        <f t="shared" si="10"/>
        <v/>
      </c>
      <c r="K384" s="16" t="str">
        <f>IF(F384&lt;&gt;"",IF(F384&gt;Lists!$L$10,"Late","On Time"),"")</f>
        <v/>
      </c>
      <c r="L384" s="16" t="str">
        <f>IF(G384&lt;&gt;"",IF(G384&lt;Lists!$L$11,"Early","On Time"),"")</f>
        <v/>
      </c>
      <c r="M384" s="9" t="str">
        <f t="shared" si="11"/>
        <v/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45" x14ac:dyDescent="0.3">
      <c r="A385" s="18"/>
      <c r="B385" s="9"/>
      <c r="C385" s="9" t="str">
        <f>IFERROR(INDEX('Employee Master'!$B$10:$B$109,MATCH(B385,'Employee Master'!$A$10:$A$109,0)),"")</f>
        <v/>
      </c>
      <c r="D385" s="9" t="str">
        <f>IFERROR(INDEX('Employee Master'!$H$10:$H$109,MATCH(B385,'Employee Master'!$A$10:$A$109,0)),"")</f>
        <v/>
      </c>
      <c r="E385" s="16"/>
      <c r="F385" s="19"/>
      <c r="G385" s="19"/>
      <c r="H385" s="16">
        <v>0</v>
      </c>
      <c r="I385" s="9"/>
      <c r="J385" s="16" t="str">
        <f t="shared" si="10"/>
        <v/>
      </c>
      <c r="K385" s="16" t="str">
        <f>IF(F385&lt;&gt;"",IF(F385&gt;Lists!$L$10,"Late","On Time"),"")</f>
        <v/>
      </c>
      <c r="L385" s="16" t="str">
        <f>IF(G385&lt;&gt;"",IF(G385&lt;Lists!$L$11,"Early","On Time"),"")</f>
        <v/>
      </c>
      <c r="M385" s="9" t="str">
        <f t="shared" si="11"/>
        <v/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</row>
    <row r="386" spans="1:45" x14ac:dyDescent="0.3">
      <c r="A386" s="18"/>
      <c r="B386" s="9"/>
      <c r="C386" s="9" t="str">
        <f>IFERROR(INDEX('Employee Master'!$B$10:$B$109,MATCH(B386,'Employee Master'!$A$10:$A$109,0)),"")</f>
        <v/>
      </c>
      <c r="D386" s="9" t="str">
        <f>IFERROR(INDEX('Employee Master'!$H$10:$H$109,MATCH(B386,'Employee Master'!$A$10:$A$109,0)),"")</f>
        <v/>
      </c>
      <c r="E386" s="16"/>
      <c r="F386" s="19"/>
      <c r="G386" s="19"/>
      <c r="H386" s="16">
        <v>0</v>
      </c>
      <c r="I386" s="9"/>
      <c r="J386" s="16" t="str">
        <f t="shared" si="10"/>
        <v/>
      </c>
      <c r="K386" s="16" t="str">
        <f>IF(F386&lt;&gt;"",IF(F386&gt;Lists!$L$10,"Late","On Time"),"")</f>
        <v/>
      </c>
      <c r="L386" s="16" t="str">
        <f>IF(G386&lt;&gt;"",IF(G386&lt;Lists!$L$11,"Early","On Time"),"")</f>
        <v/>
      </c>
      <c r="M386" s="9" t="str">
        <f t="shared" si="11"/>
        <v/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</row>
    <row r="387" spans="1:45" x14ac:dyDescent="0.3">
      <c r="A387" s="18"/>
      <c r="B387" s="9"/>
      <c r="C387" s="9" t="str">
        <f>IFERROR(INDEX('Employee Master'!$B$10:$B$109,MATCH(B387,'Employee Master'!$A$10:$A$109,0)),"")</f>
        <v/>
      </c>
      <c r="D387" s="9" t="str">
        <f>IFERROR(INDEX('Employee Master'!$H$10:$H$109,MATCH(B387,'Employee Master'!$A$10:$A$109,0)),"")</f>
        <v/>
      </c>
      <c r="E387" s="16"/>
      <c r="F387" s="19"/>
      <c r="G387" s="19"/>
      <c r="H387" s="16">
        <v>0</v>
      </c>
      <c r="I387" s="9"/>
      <c r="J387" s="16" t="str">
        <f t="shared" si="10"/>
        <v/>
      </c>
      <c r="K387" s="16" t="str">
        <f>IF(F387&lt;&gt;"",IF(F387&gt;Lists!$L$10,"Late","On Time"),"")</f>
        <v/>
      </c>
      <c r="L387" s="16" t="str">
        <f>IF(G387&lt;&gt;"",IF(G387&lt;Lists!$L$11,"Early","On Time"),"")</f>
        <v/>
      </c>
      <c r="M387" s="9" t="str">
        <f t="shared" si="11"/>
        <v/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45" x14ac:dyDescent="0.3">
      <c r="A388" s="18"/>
      <c r="B388" s="9"/>
      <c r="C388" s="9" t="str">
        <f>IFERROR(INDEX('Employee Master'!$B$10:$B$109,MATCH(B388,'Employee Master'!$A$10:$A$109,0)),"")</f>
        <v/>
      </c>
      <c r="D388" s="9" t="str">
        <f>IFERROR(INDEX('Employee Master'!$H$10:$H$109,MATCH(B388,'Employee Master'!$A$10:$A$109,0)),"")</f>
        <v/>
      </c>
      <c r="E388" s="16"/>
      <c r="F388" s="19"/>
      <c r="G388" s="19"/>
      <c r="H388" s="16">
        <v>0</v>
      </c>
      <c r="I388" s="9"/>
      <c r="J388" s="16" t="str">
        <f t="shared" si="10"/>
        <v/>
      </c>
      <c r="K388" s="16" t="str">
        <f>IF(F388&lt;&gt;"",IF(F388&gt;Lists!$L$10,"Late","On Time"),"")</f>
        <v/>
      </c>
      <c r="L388" s="16" t="str">
        <f>IF(G388&lt;&gt;"",IF(G388&lt;Lists!$L$11,"Early","On Time"),"")</f>
        <v/>
      </c>
      <c r="M388" s="9" t="str">
        <f t="shared" si="11"/>
        <v/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</row>
    <row r="389" spans="1:45" x14ac:dyDescent="0.3">
      <c r="A389" s="18"/>
      <c r="B389" s="9"/>
      <c r="C389" s="9" t="str">
        <f>IFERROR(INDEX('Employee Master'!$B$10:$B$109,MATCH(B389,'Employee Master'!$A$10:$A$109,0)),"")</f>
        <v/>
      </c>
      <c r="D389" s="9" t="str">
        <f>IFERROR(INDEX('Employee Master'!$H$10:$H$109,MATCH(B389,'Employee Master'!$A$10:$A$109,0)),"")</f>
        <v/>
      </c>
      <c r="E389" s="16"/>
      <c r="F389" s="19"/>
      <c r="G389" s="19"/>
      <c r="H389" s="16">
        <v>0</v>
      </c>
      <c r="I389" s="9"/>
      <c r="J389" s="16" t="str">
        <f t="shared" si="10"/>
        <v/>
      </c>
      <c r="K389" s="16" t="str">
        <f>IF(F389&lt;&gt;"",IF(F389&gt;Lists!$L$10,"Late","On Time"),"")</f>
        <v/>
      </c>
      <c r="L389" s="16" t="str">
        <f>IF(G389&lt;&gt;"",IF(G389&lt;Lists!$L$11,"Early","On Time"),"")</f>
        <v/>
      </c>
      <c r="M389" s="9" t="str">
        <f t="shared" si="11"/>
        <v/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</row>
    <row r="390" spans="1:45" x14ac:dyDescent="0.3">
      <c r="A390" s="18"/>
      <c r="B390" s="9"/>
      <c r="C390" s="9" t="str">
        <f>IFERROR(INDEX('Employee Master'!$B$10:$B$109,MATCH(B390,'Employee Master'!$A$10:$A$109,0)),"")</f>
        <v/>
      </c>
      <c r="D390" s="9" t="str">
        <f>IFERROR(INDEX('Employee Master'!$H$10:$H$109,MATCH(B390,'Employee Master'!$A$10:$A$109,0)),"")</f>
        <v/>
      </c>
      <c r="E390" s="16"/>
      <c r="F390" s="19"/>
      <c r="G390" s="19"/>
      <c r="H390" s="16">
        <v>0</v>
      </c>
      <c r="I390" s="9"/>
      <c r="J390" s="16" t="str">
        <f t="shared" si="10"/>
        <v/>
      </c>
      <c r="K390" s="16" t="str">
        <f>IF(F390&lt;&gt;"",IF(F390&gt;Lists!$L$10,"Late","On Time"),"")</f>
        <v/>
      </c>
      <c r="L390" s="16" t="str">
        <f>IF(G390&lt;&gt;"",IF(G390&lt;Lists!$L$11,"Early","On Time"),"")</f>
        <v/>
      </c>
      <c r="M390" s="9" t="str">
        <f t="shared" si="11"/>
        <v/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</row>
    <row r="391" spans="1:45" x14ac:dyDescent="0.3">
      <c r="A391" s="18"/>
      <c r="B391" s="9"/>
      <c r="C391" s="9" t="str">
        <f>IFERROR(INDEX('Employee Master'!$B$10:$B$109,MATCH(B391,'Employee Master'!$A$10:$A$109,0)),"")</f>
        <v/>
      </c>
      <c r="D391" s="9" t="str">
        <f>IFERROR(INDEX('Employee Master'!$H$10:$H$109,MATCH(B391,'Employee Master'!$A$10:$A$109,0)),"")</f>
        <v/>
      </c>
      <c r="E391" s="16"/>
      <c r="F391" s="19"/>
      <c r="G391" s="19"/>
      <c r="H391" s="16">
        <v>0</v>
      </c>
      <c r="I391" s="9"/>
      <c r="J391" s="16" t="str">
        <f t="shared" si="10"/>
        <v/>
      </c>
      <c r="K391" s="16" t="str">
        <f>IF(F391&lt;&gt;"",IF(F391&gt;Lists!$L$10,"Late","On Time"),"")</f>
        <v/>
      </c>
      <c r="L391" s="16" t="str">
        <f>IF(G391&lt;&gt;"",IF(G391&lt;Lists!$L$11,"Early","On Time"),"")</f>
        <v/>
      </c>
      <c r="M391" s="9" t="str">
        <f t="shared" si="11"/>
        <v/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</row>
    <row r="392" spans="1:45" x14ac:dyDescent="0.3">
      <c r="A392" s="18"/>
      <c r="B392" s="9"/>
      <c r="C392" s="9" t="str">
        <f>IFERROR(INDEX('Employee Master'!$B$10:$B$109,MATCH(B392,'Employee Master'!$A$10:$A$109,0)),"")</f>
        <v/>
      </c>
      <c r="D392" s="9" t="str">
        <f>IFERROR(INDEX('Employee Master'!$H$10:$H$109,MATCH(B392,'Employee Master'!$A$10:$A$109,0)),"")</f>
        <v/>
      </c>
      <c r="E392" s="16"/>
      <c r="F392" s="19"/>
      <c r="G392" s="19"/>
      <c r="H392" s="16">
        <v>0</v>
      </c>
      <c r="I392" s="9"/>
      <c r="J392" s="16" t="str">
        <f t="shared" si="10"/>
        <v/>
      </c>
      <c r="K392" s="16" t="str">
        <f>IF(F392&lt;&gt;"",IF(F392&gt;Lists!$L$10,"Late","On Time"),"")</f>
        <v/>
      </c>
      <c r="L392" s="16" t="str">
        <f>IF(G392&lt;&gt;"",IF(G392&lt;Lists!$L$11,"Early","On Time"),"")</f>
        <v/>
      </c>
      <c r="M392" s="9" t="str">
        <f t="shared" si="11"/>
        <v/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</row>
    <row r="393" spans="1:45" x14ac:dyDescent="0.3">
      <c r="A393" s="18"/>
      <c r="B393" s="9"/>
      <c r="C393" s="9" t="str">
        <f>IFERROR(INDEX('Employee Master'!$B$10:$B$109,MATCH(B393,'Employee Master'!$A$10:$A$109,0)),"")</f>
        <v/>
      </c>
      <c r="D393" s="9" t="str">
        <f>IFERROR(INDEX('Employee Master'!$H$10:$H$109,MATCH(B393,'Employee Master'!$A$10:$A$109,0)),"")</f>
        <v/>
      </c>
      <c r="E393" s="16"/>
      <c r="F393" s="19"/>
      <c r="G393" s="19"/>
      <c r="H393" s="16">
        <v>0</v>
      </c>
      <c r="I393" s="9"/>
      <c r="J393" s="16" t="str">
        <f t="shared" si="10"/>
        <v/>
      </c>
      <c r="K393" s="16" t="str">
        <f>IF(F393&lt;&gt;"",IF(F393&gt;Lists!$L$10,"Late","On Time"),"")</f>
        <v/>
      </c>
      <c r="L393" s="16" t="str">
        <f>IF(G393&lt;&gt;"",IF(G393&lt;Lists!$L$11,"Early","On Time"),"")</f>
        <v/>
      </c>
      <c r="M393" s="9" t="str">
        <f t="shared" si="11"/>
        <v/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45" x14ac:dyDescent="0.3">
      <c r="A394" s="18"/>
      <c r="B394" s="9"/>
      <c r="C394" s="9" t="str">
        <f>IFERROR(INDEX('Employee Master'!$B$10:$B$109,MATCH(B394,'Employee Master'!$A$10:$A$109,0)),"")</f>
        <v/>
      </c>
      <c r="D394" s="9" t="str">
        <f>IFERROR(INDEX('Employee Master'!$H$10:$H$109,MATCH(B394,'Employee Master'!$A$10:$A$109,0)),"")</f>
        <v/>
      </c>
      <c r="E394" s="16"/>
      <c r="F394" s="19"/>
      <c r="G394" s="19"/>
      <c r="H394" s="16">
        <v>0</v>
      </c>
      <c r="I394" s="9"/>
      <c r="J394" s="16" t="str">
        <f t="shared" ref="J394:J457" si="12">IF(AND(F394&lt;&gt;"",G394&lt;&gt;""),ROUND((G394-F394)*24,2),"")</f>
        <v/>
      </c>
      <c r="K394" s="16" t="str">
        <f>IF(F394&lt;&gt;"",IF(F394&gt;Lists!$L$10,"Late","On Time"),"")</f>
        <v/>
      </c>
      <c r="L394" s="16" t="str">
        <f>IF(G394&lt;&gt;"",IF(G394&lt;Lists!$L$11,"Early","On Time"),"")</f>
        <v/>
      </c>
      <c r="M394" s="9" t="str">
        <f t="shared" ref="M394:M457" si="13">IF(E394="","",E394&amp;IF(K394="Late"," +Late","")&amp;IF(L394="Early"," +Early Exit",""))</f>
        <v/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</row>
    <row r="395" spans="1:45" x14ac:dyDescent="0.3">
      <c r="A395" s="18"/>
      <c r="B395" s="9"/>
      <c r="C395" s="9" t="str">
        <f>IFERROR(INDEX('Employee Master'!$B$10:$B$109,MATCH(B395,'Employee Master'!$A$10:$A$109,0)),"")</f>
        <v/>
      </c>
      <c r="D395" s="9" t="str">
        <f>IFERROR(INDEX('Employee Master'!$H$10:$H$109,MATCH(B395,'Employee Master'!$A$10:$A$109,0)),"")</f>
        <v/>
      </c>
      <c r="E395" s="16"/>
      <c r="F395" s="19"/>
      <c r="G395" s="19"/>
      <c r="H395" s="16">
        <v>0</v>
      </c>
      <c r="I395" s="9"/>
      <c r="J395" s="16" t="str">
        <f t="shared" si="12"/>
        <v/>
      </c>
      <c r="K395" s="16" t="str">
        <f>IF(F395&lt;&gt;"",IF(F395&gt;Lists!$L$10,"Late","On Time"),"")</f>
        <v/>
      </c>
      <c r="L395" s="16" t="str">
        <f>IF(G395&lt;&gt;"",IF(G395&lt;Lists!$L$11,"Early","On Time"),"")</f>
        <v/>
      </c>
      <c r="M395" s="9" t="str">
        <f t="shared" si="13"/>
        <v/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</row>
    <row r="396" spans="1:45" x14ac:dyDescent="0.3">
      <c r="A396" s="18"/>
      <c r="B396" s="9"/>
      <c r="C396" s="9" t="str">
        <f>IFERROR(INDEX('Employee Master'!$B$10:$B$109,MATCH(B396,'Employee Master'!$A$10:$A$109,0)),"")</f>
        <v/>
      </c>
      <c r="D396" s="9" t="str">
        <f>IFERROR(INDEX('Employee Master'!$H$10:$H$109,MATCH(B396,'Employee Master'!$A$10:$A$109,0)),"")</f>
        <v/>
      </c>
      <c r="E396" s="16"/>
      <c r="F396" s="19"/>
      <c r="G396" s="19"/>
      <c r="H396" s="16">
        <v>0</v>
      </c>
      <c r="I396" s="9"/>
      <c r="J396" s="16" t="str">
        <f t="shared" si="12"/>
        <v/>
      </c>
      <c r="K396" s="16" t="str">
        <f>IF(F396&lt;&gt;"",IF(F396&gt;Lists!$L$10,"Late","On Time"),"")</f>
        <v/>
      </c>
      <c r="L396" s="16" t="str">
        <f>IF(G396&lt;&gt;"",IF(G396&lt;Lists!$L$11,"Early","On Time"),"")</f>
        <v/>
      </c>
      <c r="M396" s="9" t="str">
        <f t="shared" si="13"/>
        <v/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</row>
    <row r="397" spans="1:45" x14ac:dyDescent="0.3">
      <c r="A397" s="18"/>
      <c r="B397" s="9"/>
      <c r="C397" s="9" t="str">
        <f>IFERROR(INDEX('Employee Master'!$B$10:$B$109,MATCH(B397,'Employee Master'!$A$10:$A$109,0)),"")</f>
        <v/>
      </c>
      <c r="D397" s="9" t="str">
        <f>IFERROR(INDEX('Employee Master'!$H$10:$H$109,MATCH(B397,'Employee Master'!$A$10:$A$109,0)),"")</f>
        <v/>
      </c>
      <c r="E397" s="16"/>
      <c r="F397" s="19"/>
      <c r="G397" s="19"/>
      <c r="H397" s="16">
        <v>0</v>
      </c>
      <c r="I397" s="9"/>
      <c r="J397" s="16" t="str">
        <f t="shared" si="12"/>
        <v/>
      </c>
      <c r="K397" s="16" t="str">
        <f>IF(F397&lt;&gt;"",IF(F397&gt;Lists!$L$10,"Late","On Time"),"")</f>
        <v/>
      </c>
      <c r="L397" s="16" t="str">
        <f>IF(G397&lt;&gt;"",IF(G397&lt;Lists!$L$11,"Early","On Time"),"")</f>
        <v/>
      </c>
      <c r="M397" s="9" t="str">
        <f t="shared" si="13"/>
        <v/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</row>
    <row r="398" spans="1:45" x14ac:dyDescent="0.3">
      <c r="A398" s="18"/>
      <c r="B398" s="9"/>
      <c r="C398" s="9" t="str">
        <f>IFERROR(INDEX('Employee Master'!$B$10:$B$109,MATCH(B398,'Employee Master'!$A$10:$A$109,0)),"")</f>
        <v/>
      </c>
      <c r="D398" s="9" t="str">
        <f>IFERROR(INDEX('Employee Master'!$H$10:$H$109,MATCH(B398,'Employee Master'!$A$10:$A$109,0)),"")</f>
        <v/>
      </c>
      <c r="E398" s="16"/>
      <c r="F398" s="19"/>
      <c r="G398" s="19"/>
      <c r="H398" s="16">
        <v>0</v>
      </c>
      <c r="I398" s="9"/>
      <c r="J398" s="16" t="str">
        <f t="shared" si="12"/>
        <v/>
      </c>
      <c r="K398" s="16" t="str">
        <f>IF(F398&lt;&gt;"",IF(F398&gt;Lists!$L$10,"Late","On Time"),"")</f>
        <v/>
      </c>
      <c r="L398" s="16" t="str">
        <f>IF(G398&lt;&gt;"",IF(G398&lt;Lists!$L$11,"Early","On Time"),"")</f>
        <v/>
      </c>
      <c r="M398" s="9" t="str">
        <f t="shared" si="13"/>
        <v/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</row>
    <row r="399" spans="1:45" x14ac:dyDescent="0.3">
      <c r="A399" s="18"/>
      <c r="B399" s="9"/>
      <c r="C399" s="9" t="str">
        <f>IFERROR(INDEX('Employee Master'!$B$10:$B$109,MATCH(B399,'Employee Master'!$A$10:$A$109,0)),"")</f>
        <v/>
      </c>
      <c r="D399" s="9" t="str">
        <f>IFERROR(INDEX('Employee Master'!$H$10:$H$109,MATCH(B399,'Employee Master'!$A$10:$A$109,0)),"")</f>
        <v/>
      </c>
      <c r="E399" s="16"/>
      <c r="F399" s="19"/>
      <c r="G399" s="19"/>
      <c r="H399" s="16">
        <v>0</v>
      </c>
      <c r="I399" s="9"/>
      <c r="J399" s="16" t="str">
        <f t="shared" si="12"/>
        <v/>
      </c>
      <c r="K399" s="16" t="str">
        <f>IF(F399&lt;&gt;"",IF(F399&gt;Lists!$L$10,"Late","On Time"),"")</f>
        <v/>
      </c>
      <c r="L399" s="16" t="str">
        <f>IF(G399&lt;&gt;"",IF(G399&lt;Lists!$L$11,"Early","On Time"),"")</f>
        <v/>
      </c>
      <c r="M399" s="9" t="str">
        <f t="shared" si="13"/>
        <v/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</row>
    <row r="400" spans="1:45" x14ac:dyDescent="0.3">
      <c r="A400" s="18"/>
      <c r="B400" s="9"/>
      <c r="C400" s="9" t="str">
        <f>IFERROR(INDEX('Employee Master'!$B$10:$B$109,MATCH(B400,'Employee Master'!$A$10:$A$109,0)),"")</f>
        <v/>
      </c>
      <c r="D400" s="9" t="str">
        <f>IFERROR(INDEX('Employee Master'!$H$10:$H$109,MATCH(B400,'Employee Master'!$A$10:$A$109,0)),"")</f>
        <v/>
      </c>
      <c r="E400" s="16"/>
      <c r="F400" s="19"/>
      <c r="G400" s="19"/>
      <c r="H400" s="16">
        <v>0</v>
      </c>
      <c r="I400" s="9"/>
      <c r="J400" s="16" t="str">
        <f t="shared" si="12"/>
        <v/>
      </c>
      <c r="K400" s="16" t="str">
        <f>IF(F400&lt;&gt;"",IF(F400&gt;Lists!$L$10,"Late","On Time"),"")</f>
        <v/>
      </c>
      <c r="L400" s="16" t="str">
        <f>IF(G400&lt;&gt;"",IF(G400&lt;Lists!$L$11,"Early","On Time"),"")</f>
        <v/>
      </c>
      <c r="M400" s="9" t="str">
        <f t="shared" si="13"/>
        <v/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45" x14ac:dyDescent="0.3">
      <c r="A401" s="18"/>
      <c r="B401" s="9"/>
      <c r="C401" s="9" t="str">
        <f>IFERROR(INDEX('Employee Master'!$B$10:$B$109,MATCH(B401,'Employee Master'!$A$10:$A$109,0)),"")</f>
        <v/>
      </c>
      <c r="D401" s="9" t="str">
        <f>IFERROR(INDEX('Employee Master'!$H$10:$H$109,MATCH(B401,'Employee Master'!$A$10:$A$109,0)),"")</f>
        <v/>
      </c>
      <c r="E401" s="16"/>
      <c r="F401" s="19"/>
      <c r="G401" s="19"/>
      <c r="H401" s="16">
        <v>0</v>
      </c>
      <c r="I401" s="9"/>
      <c r="J401" s="16" t="str">
        <f t="shared" si="12"/>
        <v/>
      </c>
      <c r="K401" s="16" t="str">
        <f>IF(F401&lt;&gt;"",IF(F401&gt;Lists!$L$10,"Late","On Time"),"")</f>
        <v/>
      </c>
      <c r="L401" s="16" t="str">
        <f>IF(G401&lt;&gt;"",IF(G401&lt;Lists!$L$11,"Early","On Time"),"")</f>
        <v/>
      </c>
      <c r="M401" s="9" t="str">
        <f t="shared" si="13"/>
        <v/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45" x14ac:dyDescent="0.3">
      <c r="A402" s="18"/>
      <c r="B402" s="9"/>
      <c r="C402" s="9" t="str">
        <f>IFERROR(INDEX('Employee Master'!$B$10:$B$109,MATCH(B402,'Employee Master'!$A$10:$A$109,0)),"")</f>
        <v/>
      </c>
      <c r="D402" s="9" t="str">
        <f>IFERROR(INDEX('Employee Master'!$H$10:$H$109,MATCH(B402,'Employee Master'!$A$10:$A$109,0)),"")</f>
        <v/>
      </c>
      <c r="E402" s="16"/>
      <c r="F402" s="19"/>
      <c r="G402" s="19"/>
      <c r="H402" s="16">
        <v>0</v>
      </c>
      <c r="I402" s="9"/>
      <c r="J402" s="16" t="str">
        <f t="shared" si="12"/>
        <v/>
      </c>
      <c r="K402" s="16" t="str">
        <f>IF(F402&lt;&gt;"",IF(F402&gt;Lists!$L$10,"Late","On Time"),"")</f>
        <v/>
      </c>
      <c r="L402" s="16" t="str">
        <f>IF(G402&lt;&gt;"",IF(G402&lt;Lists!$L$11,"Early","On Time"),"")</f>
        <v/>
      </c>
      <c r="M402" s="9" t="str">
        <f t="shared" si="13"/>
        <v/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45" x14ac:dyDescent="0.3">
      <c r="A403" s="18"/>
      <c r="B403" s="9"/>
      <c r="C403" s="9" t="str">
        <f>IFERROR(INDEX('Employee Master'!$B$10:$B$109,MATCH(B403,'Employee Master'!$A$10:$A$109,0)),"")</f>
        <v/>
      </c>
      <c r="D403" s="9" t="str">
        <f>IFERROR(INDEX('Employee Master'!$H$10:$H$109,MATCH(B403,'Employee Master'!$A$10:$A$109,0)),"")</f>
        <v/>
      </c>
      <c r="E403" s="16"/>
      <c r="F403" s="19"/>
      <c r="G403" s="19"/>
      <c r="H403" s="16">
        <v>0</v>
      </c>
      <c r="I403" s="9"/>
      <c r="J403" s="16" t="str">
        <f t="shared" si="12"/>
        <v/>
      </c>
      <c r="K403" s="16" t="str">
        <f>IF(F403&lt;&gt;"",IF(F403&gt;Lists!$L$10,"Late","On Time"),"")</f>
        <v/>
      </c>
      <c r="L403" s="16" t="str">
        <f>IF(G403&lt;&gt;"",IF(G403&lt;Lists!$L$11,"Early","On Time"),"")</f>
        <v/>
      </c>
      <c r="M403" s="9" t="str">
        <f t="shared" si="13"/>
        <v/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45" x14ac:dyDescent="0.3">
      <c r="A404" s="18"/>
      <c r="B404" s="9"/>
      <c r="C404" s="9" t="str">
        <f>IFERROR(INDEX('Employee Master'!$B$10:$B$109,MATCH(B404,'Employee Master'!$A$10:$A$109,0)),"")</f>
        <v/>
      </c>
      <c r="D404" s="9" t="str">
        <f>IFERROR(INDEX('Employee Master'!$H$10:$H$109,MATCH(B404,'Employee Master'!$A$10:$A$109,0)),"")</f>
        <v/>
      </c>
      <c r="E404" s="16"/>
      <c r="F404" s="19"/>
      <c r="G404" s="19"/>
      <c r="H404" s="16">
        <v>0</v>
      </c>
      <c r="I404" s="9"/>
      <c r="J404" s="16" t="str">
        <f t="shared" si="12"/>
        <v/>
      </c>
      <c r="K404" s="16" t="str">
        <f>IF(F404&lt;&gt;"",IF(F404&gt;Lists!$L$10,"Late","On Time"),"")</f>
        <v/>
      </c>
      <c r="L404" s="16" t="str">
        <f>IF(G404&lt;&gt;"",IF(G404&lt;Lists!$L$11,"Early","On Time"),"")</f>
        <v/>
      </c>
      <c r="M404" s="9" t="str">
        <f t="shared" si="13"/>
        <v/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45" x14ac:dyDescent="0.3">
      <c r="A405" s="18"/>
      <c r="B405" s="9"/>
      <c r="C405" s="9" t="str">
        <f>IFERROR(INDEX('Employee Master'!$B$10:$B$109,MATCH(B405,'Employee Master'!$A$10:$A$109,0)),"")</f>
        <v/>
      </c>
      <c r="D405" s="9" t="str">
        <f>IFERROR(INDEX('Employee Master'!$H$10:$H$109,MATCH(B405,'Employee Master'!$A$10:$A$109,0)),"")</f>
        <v/>
      </c>
      <c r="E405" s="16"/>
      <c r="F405" s="19"/>
      <c r="G405" s="19"/>
      <c r="H405" s="16">
        <v>0</v>
      </c>
      <c r="I405" s="9"/>
      <c r="J405" s="16" t="str">
        <f t="shared" si="12"/>
        <v/>
      </c>
      <c r="K405" s="16" t="str">
        <f>IF(F405&lt;&gt;"",IF(F405&gt;Lists!$L$10,"Late","On Time"),"")</f>
        <v/>
      </c>
      <c r="L405" s="16" t="str">
        <f>IF(G405&lt;&gt;"",IF(G405&lt;Lists!$L$11,"Early","On Time"),"")</f>
        <v/>
      </c>
      <c r="M405" s="9" t="str">
        <f t="shared" si="13"/>
        <v/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45" x14ac:dyDescent="0.3">
      <c r="A406" s="18"/>
      <c r="B406" s="9"/>
      <c r="C406" s="9" t="str">
        <f>IFERROR(INDEX('Employee Master'!$B$10:$B$109,MATCH(B406,'Employee Master'!$A$10:$A$109,0)),"")</f>
        <v/>
      </c>
      <c r="D406" s="9" t="str">
        <f>IFERROR(INDEX('Employee Master'!$H$10:$H$109,MATCH(B406,'Employee Master'!$A$10:$A$109,0)),"")</f>
        <v/>
      </c>
      <c r="E406" s="16"/>
      <c r="F406" s="19"/>
      <c r="G406" s="19"/>
      <c r="H406" s="16">
        <v>0</v>
      </c>
      <c r="I406" s="9"/>
      <c r="J406" s="16" t="str">
        <f t="shared" si="12"/>
        <v/>
      </c>
      <c r="K406" s="16" t="str">
        <f>IF(F406&lt;&gt;"",IF(F406&gt;Lists!$L$10,"Late","On Time"),"")</f>
        <v/>
      </c>
      <c r="L406" s="16" t="str">
        <f>IF(G406&lt;&gt;"",IF(G406&lt;Lists!$L$11,"Early","On Time"),"")</f>
        <v/>
      </c>
      <c r="M406" s="9" t="str">
        <f t="shared" si="13"/>
        <v/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45" x14ac:dyDescent="0.3">
      <c r="A407" s="18"/>
      <c r="B407" s="9"/>
      <c r="C407" s="9" t="str">
        <f>IFERROR(INDEX('Employee Master'!$B$10:$B$109,MATCH(B407,'Employee Master'!$A$10:$A$109,0)),"")</f>
        <v/>
      </c>
      <c r="D407" s="9" t="str">
        <f>IFERROR(INDEX('Employee Master'!$H$10:$H$109,MATCH(B407,'Employee Master'!$A$10:$A$109,0)),"")</f>
        <v/>
      </c>
      <c r="E407" s="16"/>
      <c r="F407" s="19"/>
      <c r="G407" s="19"/>
      <c r="H407" s="16">
        <v>0</v>
      </c>
      <c r="I407" s="9"/>
      <c r="J407" s="16" t="str">
        <f t="shared" si="12"/>
        <v/>
      </c>
      <c r="K407" s="16" t="str">
        <f>IF(F407&lt;&gt;"",IF(F407&gt;Lists!$L$10,"Late","On Time"),"")</f>
        <v/>
      </c>
      <c r="L407" s="16" t="str">
        <f>IF(G407&lt;&gt;"",IF(G407&lt;Lists!$L$11,"Early","On Time"),"")</f>
        <v/>
      </c>
      <c r="M407" s="9" t="str">
        <f t="shared" si="13"/>
        <v/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45" x14ac:dyDescent="0.3">
      <c r="A408" s="18"/>
      <c r="B408" s="9"/>
      <c r="C408" s="9" t="str">
        <f>IFERROR(INDEX('Employee Master'!$B$10:$B$109,MATCH(B408,'Employee Master'!$A$10:$A$109,0)),"")</f>
        <v/>
      </c>
      <c r="D408" s="9" t="str">
        <f>IFERROR(INDEX('Employee Master'!$H$10:$H$109,MATCH(B408,'Employee Master'!$A$10:$A$109,0)),"")</f>
        <v/>
      </c>
      <c r="E408" s="16"/>
      <c r="F408" s="19"/>
      <c r="G408" s="19"/>
      <c r="H408" s="16">
        <v>0</v>
      </c>
      <c r="I408" s="9"/>
      <c r="J408" s="16" t="str">
        <f t="shared" si="12"/>
        <v/>
      </c>
      <c r="K408" s="16" t="str">
        <f>IF(F408&lt;&gt;"",IF(F408&gt;Lists!$L$10,"Late","On Time"),"")</f>
        <v/>
      </c>
      <c r="L408" s="16" t="str">
        <f>IF(G408&lt;&gt;"",IF(G408&lt;Lists!$L$11,"Early","On Time"),"")</f>
        <v/>
      </c>
      <c r="M408" s="9" t="str">
        <f t="shared" si="13"/>
        <v/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45" x14ac:dyDescent="0.3">
      <c r="A409" s="18"/>
      <c r="B409" s="9"/>
      <c r="C409" s="9" t="str">
        <f>IFERROR(INDEX('Employee Master'!$B$10:$B$109,MATCH(B409,'Employee Master'!$A$10:$A$109,0)),"")</f>
        <v/>
      </c>
      <c r="D409" s="9" t="str">
        <f>IFERROR(INDEX('Employee Master'!$H$10:$H$109,MATCH(B409,'Employee Master'!$A$10:$A$109,0)),"")</f>
        <v/>
      </c>
      <c r="E409" s="16"/>
      <c r="F409" s="19"/>
      <c r="G409" s="19"/>
      <c r="H409" s="16">
        <v>0</v>
      </c>
      <c r="I409" s="9"/>
      <c r="J409" s="16" t="str">
        <f t="shared" si="12"/>
        <v/>
      </c>
      <c r="K409" s="16" t="str">
        <f>IF(F409&lt;&gt;"",IF(F409&gt;Lists!$L$10,"Late","On Time"),"")</f>
        <v/>
      </c>
      <c r="L409" s="16" t="str">
        <f>IF(G409&lt;&gt;"",IF(G409&lt;Lists!$L$11,"Early","On Time"),"")</f>
        <v/>
      </c>
      <c r="M409" s="9" t="str">
        <f t="shared" si="13"/>
        <v/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45" x14ac:dyDescent="0.3">
      <c r="A410" s="18"/>
      <c r="B410" s="9"/>
      <c r="C410" s="9" t="str">
        <f>IFERROR(INDEX('Employee Master'!$B$10:$B$109,MATCH(B410,'Employee Master'!$A$10:$A$109,0)),"")</f>
        <v/>
      </c>
      <c r="D410" s="9" t="str">
        <f>IFERROR(INDEX('Employee Master'!$H$10:$H$109,MATCH(B410,'Employee Master'!$A$10:$A$109,0)),"")</f>
        <v/>
      </c>
      <c r="E410" s="16"/>
      <c r="F410" s="19"/>
      <c r="G410" s="19"/>
      <c r="H410" s="16">
        <v>0</v>
      </c>
      <c r="I410" s="9"/>
      <c r="J410" s="16" t="str">
        <f t="shared" si="12"/>
        <v/>
      </c>
      <c r="K410" s="16" t="str">
        <f>IF(F410&lt;&gt;"",IF(F410&gt;Lists!$L$10,"Late","On Time"),"")</f>
        <v/>
      </c>
      <c r="L410" s="16" t="str">
        <f>IF(G410&lt;&gt;"",IF(G410&lt;Lists!$L$11,"Early","On Time"),"")</f>
        <v/>
      </c>
      <c r="M410" s="9" t="str">
        <f t="shared" si="13"/>
        <v/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45" x14ac:dyDescent="0.3">
      <c r="A411" s="18"/>
      <c r="B411" s="9"/>
      <c r="C411" s="9" t="str">
        <f>IFERROR(INDEX('Employee Master'!$B$10:$B$109,MATCH(B411,'Employee Master'!$A$10:$A$109,0)),"")</f>
        <v/>
      </c>
      <c r="D411" s="9" t="str">
        <f>IFERROR(INDEX('Employee Master'!$H$10:$H$109,MATCH(B411,'Employee Master'!$A$10:$A$109,0)),"")</f>
        <v/>
      </c>
      <c r="E411" s="16"/>
      <c r="F411" s="19"/>
      <c r="G411" s="19"/>
      <c r="H411" s="16">
        <v>0</v>
      </c>
      <c r="I411" s="9"/>
      <c r="J411" s="16" t="str">
        <f t="shared" si="12"/>
        <v/>
      </c>
      <c r="K411" s="16" t="str">
        <f>IF(F411&lt;&gt;"",IF(F411&gt;Lists!$L$10,"Late","On Time"),"")</f>
        <v/>
      </c>
      <c r="L411" s="16" t="str">
        <f>IF(G411&lt;&gt;"",IF(G411&lt;Lists!$L$11,"Early","On Time"),"")</f>
        <v/>
      </c>
      <c r="M411" s="9" t="str">
        <f t="shared" si="13"/>
        <v/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45" x14ac:dyDescent="0.3">
      <c r="A412" s="18"/>
      <c r="B412" s="9"/>
      <c r="C412" s="9" t="str">
        <f>IFERROR(INDEX('Employee Master'!$B$10:$B$109,MATCH(B412,'Employee Master'!$A$10:$A$109,0)),"")</f>
        <v/>
      </c>
      <c r="D412" s="9" t="str">
        <f>IFERROR(INDEX('Employee Master'!$H$10:$H$109,MATCH(B412,'Employee Master'!$A$10:$A$109,0)),"")</f>
        <v/>
      </c>
      <c r="E412" s="16"/>
      <c r="F412" s="19"/>
      <c r="G412" s="19"/>
      <c r="H412" s="16">
        <v>0</v>
      </c>
      <c r="I412" s="9"/>
      <c r="J412" s="16" t="str">
        <f t="shared" si="12"/>
        <v/>
      </c>
      <c r="K412" s="16" t="str">
        <f>IF(F412&lt;&gt;"",IF(F412&gt;Lists!$L$10,"Late","On Time"),"")</f>
        <v/>
      </c>
      <c r="L412" s="16" t="str">
        <f>IF(G412&lt;&gt;"",IF(G412&lt;Lists!$L$11,"Early","On Time"),"")</f>
        <v/>
      </c>
      <c r="M412" s="9" t="str">
        <f t="shared" si="13"/>
        <v/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45" x14ac:dyDescent="0.3">
      <c r="A413" s="18"/>
      <c r="B413" s="9"/>
      <c r="C413" s="9" t="str">
        <f>IFERROR(INDEX('Employee Master'!$B$10:$B$109,MATCH(B413,'Employee Master'!$A$10:$A$109,0)),"")</f>
        <v/>
      </c>
      <c r="D413" s="9" t="str">
        <f>IFERROR(INDEX('Employee Master'!$H$10:$H$109,MATCH(B413,'Employee Master'!$A$10:$A$109,0)),"")</f>
        <v/>
      </c>
      <c r="E413" s="16"/>
      <c r="F413" s="19"/>
      <c r="G413" s="19"/>
      <c r="H413" s="16">
        <v>0</v>
      </c>
      <c r="I413" s="9"/>
      <c r="J413" s="16" t="str">
        <f t="shared" si="12"/>
        <v/>
      </c>
      <c r="K413" s="16" t="str">
        <f>IF(F413&lt;&gt;"",IF(F413&gt;Lists!$L$10,"Late","On Time"),"")</f>
        <v/>
      </c>
      <c r="L413" s="16" t="str">
        <f>IF(G413&lt;&gt;"",IF(G413&lt;Lists!$L$11,"Early","On Time"),"")</f>
        <v/>
      </c>
      <c r="M413" s="9" t="str">
        <f t="shared" si="13"/>
        <v/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45" x14ac:dyDescent="0.3">
      <c r="A414" s="18"/>
      <c r="B414" s="9"/>
      <c r="C414" s="9" t="str">
        <f>IFERROR(INDEX('Employee Master'!$B$10:$B$109,MATCH(B414,'Employee Master'!$A$10:$A$109,0)),"")</f>
        <v/>
      </c>
      <c r="D414" s="9" t="str">
        <f>IFERROR(INDEX('Employee Master'!$H$10:$H$109,MATCH(B414,'Employee Master'!$A$10:$A$109,0)),"")</f>
        <v/>
      </c>
      <c r="E414" s="16"/>
      <c r="F414" s="19"/>
      <c r="G414" s="19"/>
      <c r="H414" s="16">
        <v>0</v>
      </c>
      <c r="I414" s="9"/>
      <c r="J414" s="16" t="str">
        <f t="shared" si="12"/>
        <v/>
      </c>
      <c r="K414" s="16" t="str">
        <f>IF(F414&lt;&gt;"",IF(F414&gt;Lists!$L$10,"Late","On Time"),"")</f>
        <v/>
      </c>
      <c r="L414" s="16" t="str">
        <f>IF(G414&lt;&gt;"",IF(G414&lt;Lists!$L$11,"Early","On Time"),"")</f>
        <v/>
      </c>
      <c r="M414" s="9" t="str">
        <f t="shared" si="13"/>
        <v/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45" x14ac:dyDescent="0.3">
      <c r="A415" s="18"/>
      <c r="B415" s="9"/>
      <c r="C415" s="9" t="str">
        <f>IFERROR(INDEX('Employee Master'!$B$10:$B$109,MATCH(B415,'Employee Master'!$A$10:$A$109,0)),"")</f>
        <v/>
      </c>
      <c r="D415" s="9" t="str">
        <f>IFERROR(INDEX('Employee Master'!$H$10:$H$109,MATCH(B415,'Employee Master'!$A$10:$A$109,0)),"")</f>
        <v/>
      </c>
      <c r="E415" s="16"/>
      <c r="F415" s="19"/>
      <c r="G415" s="19"/>
      <c r="H415" s="16">
        <v>0</v>
      </c>
      <c r="I415" s="9"/>
      <c r="J415" s="16" t="str">
        <f t="shared" si="12"/>
        <v/>
      </c>
      <c r="K415" s="16" t="str">
        <f>IF(F415&lt;&gt;"",IF(F415&gt;Lists!$L$10,"Late","On Time"),"")</f>
        <v/>
      </c>
      <c r="L415" s="16" t="str">
        <f>IF(G415&lt;&gt;"",IF(G415&lt;Lists!$L$11,"Early","On Time"),"")</f>
        <v/>
      </c>
      <c r="M415" s="9" t="str">
        <f t="shared" si="13"/>
        <v/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45" x14ac:dyDescent="0.3">
      <c r="A416" s="18"/>
      <c r="B416" s="9"/>
      <c r="C416" s="9" t="str">
        <f>IFERROR(INDEX('Employee Master'!$B$10:$B$109,MATCH(B416,'Employee Master'!$A$10:$A$109,0)),"")</f>
        <v/>
      </c>
      <c r="D416" s="9" t="str">
        <f>IFERROR(INDEX('Employee Master'!$H$10:$H$109,MATCH(B416,'Employee Master'!$A$10:$A$109,0)),"")</f>
        <v/>
      </c>
      <c r="E416" s="16"/>
      <c r="F416" s="19"/>
      <c r="G416" s="19"/>
      <c r="H416" s="16">
        <v>0</v>
      </c>
      <c r="I416" s="9"/>
      <c r="J416" s="16" t="str">
        <f t="shared" si="12"/>
        <v/>
      </c>
      <c r="K416" s="16" t="str">
        <f>IF(F416&lt;&gt;"",IF(F416&gt;Lists!$L$10,"Late","On Time"),"")</f>
        <v/>
      </c>
      <c r="L416" s="16" t="str">
        <f>IF(G416&lt;&gt;"",IF(G416&lt;Lists!$L$11,"Early","On Time"),"")</f>
        <v/>
      </c>
      <c r="M416" s="9" t="str">
        <f t="shared" si="13"/>
        <v/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45" x14ac:dyDescent="0.3">
      <c r="A417" s="18"/>
      <c r="B417" s="9"/>
      <c r="C417" s="9" t="str">
        <f>IFERROR(INDEX('Employee Master'!$B$10:$B$109,MATCH(B417,'Employee Master'!$A$10:$A$109,0)),"")</f>
        <v/>
      </c>
      <c r="D417" s="9" t="str">
        <f>IFERROR(INDEX('Employee Master'!$H$10:$H$109,MATCH(B417,'Employee Master'!$A$10:$A$109,0)),"")</f>
        <v/>
      </c>
      <c r="E417" s="16"/>
      <c r="F417" s="19"/>
      <c r="G417" s="19"/>
      <c r="H417" s="16">
        <v>0</v>
      </c>
      <c r="I417" s="9"/>
      <c r="J417" s="16" t="str">
        <f t="shared" si="12"/>
        <v/>
      </c>
      <c r="K417" s="16" t="str">
        <f>IF(F417&lt;&gt;"",IF(F417&gt;Lists!$L$10,"Late","On Time"),"")</f>
        <v/>
      </c>
      <c r="L417" s="16" t="str">
        <f>IF(G417&lt;&gt;"",IF(G417&lt;Lists!$L$11,"Early","On Time"),"")</f>
        <v/>
      </c>
      <c r="M417" s="9" t="str">
        <f t="shared" si="13"/>
        <v/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45" x14ac:dyDescent="0.3">
      <c r="A418" s="18"/>
      <c r="B418" s="9"/>
      <c r="C418" s="9" t="str">
        <f>IFERROR(INDEX('Employee Master'!$B$10:$B$109,MATCH(B418,'Employee Master'!$A$10:$A$109,0)),"")</f>
        <v/>
      </c>
      <c r="D418" s="9" t="str">
        <f>IFERROR(INDEX('Employee Master'!$H$10:$H$109,MATCH(B418,'Employee Master'!$A$10:$A$109,0)),"")</f>
        <v/>
      </c>
      <c r="E418" s="16"/>
      <c r="F418" s="19"/>
      <c r="G418" s="19"/>
      <c r="H418" s="16">
        <v>0</v>
      </c>
      <c r="I418" s="9"/>
      <c r="J418" s="16" t="str">
        <f t="shared" si="12"/>
        <v/>
      </c>
      <c r="K418" s="16" t="str">
        <f>IF(F418&lt;&gt;"",IF(F418&gt;Lists!$L$10,"Late","On Time"),"")</f>
        <v/>
      </c>
      <c r="L418" s="16" t="str">
        <f>IF(G418&lt;&gt;"",IF(G418&lt;Lists!$L$11,"Early","On Time"),"")</f>
        <v/>
      </c>
      <c r="M418" s="9" t="str">
        <f t="shared" si="13"/>
        <v/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45" x14ac:dyDescent="0.3">
      <c r="A419" s="18"/>
      <c r="B419" s="9"/>
      <c r="C419" s="9" t="str">
        <f>IFERROR(INDEX('Employee Master'!$B$10:$B$109,MATCH(B419,'Employee Master'!$A$10:$A$109,0)),"")</f>
        <v/>
      </c>
      <c r="D419" s="9" t="str">
        <f>IFERROR(INDEX('Employee Master'!$H$10:$H$109,MATCH(B419,'Employee Master'!$A$10:$A$109,0)),"")</f>
        <v/>
      </c>
      <c r="E419" s="16"/>
      <c r="F419" s="19"/>
      <c r="G419" s="19"/>
      <c r="H419" s="16">
        <v>0</v>
      </c>
      <c r="I419" s="9"/>
      <c r="J419" s="16" t="str">
        <f t="shared" si="12"/>
        <v/>
      </c>
      <c r="K419" s="16" t="str">
        <f>IF(F419&lt;&gt;"",IF(F419&gt;Lists!$L$10,"Late","On Time"),"")</f>
        <v/>
      </c>
      <c r="L419" s="16" t="str">
        <f>IF(G419&lt;&gt;"",IF(G419&lt;Lists!$L$11,"Early","On Time"),"")</f>
        <v/>
      </c>
      <c r="M419" s="9" t="str">
        <f t="shared" si="13"/>
        <v/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45" x14ac:dyDescent="0.3">
      <c r="A420" s="18"/>
      <c r="B420" s="9"/>
      <c r="C420" s="9" t="str">
        <f>IFERROR(INDEX('Employee Master'!$B$10:$B$109,MATCH(B420,'Employee Master'!$A$10:$A$109,0)),"")</f>
        <v/>
      </c>
      <c r="D420" s="9" t="str">
        <f>IFERROR(INDEX('Employee Master'!$H$10:$H$109,MATCH(B420,'Employee Master'!$A$10:$A$109,0)),"")</f>
        <v/>
      </c>
      <c r="E420" s="16"/>
      <c r="F420" s="19"/>
      <c r="G420" s="19"/>
      <c r="H420" s="16">
        <v>0</v>
      </c>
      <c r="I420" s="9"/>
      <c r="J420" s="16" t="str">
        <f t="shared" si="12"/>
        <v/>
      </c>
      <c r="K420" s="16" t="str">
        <f>IF(F420&lt;&gt;"",IF(F420&gt;Lists!$L$10,"Late","On Time"),"")</f>
        <v/>
      </c>
      <c r="L420" s="16" t="str">
        <f>IF(G420&lt;&gt;"",IF(G420&lt;Lists!$L$11,"Early","On Time"),"")</f>
        <v/>
      </c>
      <c r="M420" s="9" t="str">
        <f t="shared" si="13"/>
        <v/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45" x14ac:dyDescent="0.3">
      <c r="A421" s="18"/>
      <c r="B421" s="9"/>
      <c r="C421" s="9" t="str">
        <f>IFERROR(INDEX('Employee Master'!$B$10:$B$109,MATCH(B421,'Employee Master'!$A$10:$A$109,0)),"")</f>
        <v/>
      </c>
      <c r="D421" s="9" t="str">
        <f>IFERROR(INDEX('Employee Master'!$H$10:$H$109,MATCH(B421,'Employee Master'!$A$10:$A$109,0)),"")</f>
        <v/>
      </c>
      <c r="E421" s="16"/>
      <c r="F421" s="19"/>
      <c r="G421" s="19"/>
      <c r="H421" s="16">
        <v>0</v>
      </c>
      <c r="I421" s="9"/>
      <c r="J421" s="16" t="str">
        <f t="shared" si="12"/>
        <v/>
      </c>
      <c r="K421" s="16" t="str">
        <f>IF(F421&lt;&gt;"",IF(F421&gt;Lists!$L$10,"Late","On Time"),"")</f>
        <v/>
      </c>
      <c r="L421" s="16" t="str">
        <f>IF(G421&lt;&gt;"",IF(G421&lt;Lists!$L$11,"Early","On Time"),"")</f>
        <v/>
      </c>
      <c r="M421" s="9" t="str">
        <f t="shared" si="13"/>
        <v/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45" x14ac:dyDescent="0.3">
      <c r="A422" s="18"/>
      <c r="B422" s="9"/>
      <c r="C422" s="9" t="str">
        <f>IFERROR(INDEX('Employee Master'!$B$10:$B$109,MATCH(B422,'Employee Master'!$A$10:$A$109,0)),"")</f>
        <v/>
      </c>
      <c r="D422" s="9" t="str">
        <f>IFERROR(INDEX('Employee Master'!$H$10:$H$109,MATCH(B422,'Employee Master'!$A$10:$A$109,0)),"")</f>
        <v/>
      </c>
      <c r="E422" s="16"/>
      <c r="F422" s="19"/>
      <c r="G422" s="19"/>
      <c r="H422" s="16">
        <v>0</v>
      </c>
      <c r="I422" s="9"/>
      <c r="J422" s="16" t="str">
        <f t="shared" si="12"/>
        <v/>
      </c>
      <c r="K422" s="16" t="str">
        <f>IF(F422&lt;&gt;"",IF(F422&gt;Lists!$L$10,"Late","On Time"),"")</f>
        <v/>
      </c>
      <c r="L422" s="16" t="str">
        <f>IF(G422&lt;&gt;"",IF(G422&lt;Lists!$L$11,"Early","On Time"),"")</f>
        <v/>
      </c>
      <c r="M422" s="9" t="str">
        <f t="shared" si="13"/>
        <v/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45" x14ac:dyDescent="0.3">
      <c r="A423" s="18"/>
      <c r="B423" s="9"/>
      <c r="C423" s="9" t="str">
        <f>IFERROR(INDEX('Employee Master'!$B$10:$B$109,MATCH(B423,'Employee Master'!$A$10:$A$109,0)),"")</f>
        <v/>
      </c>
      <c r="D423" s="9" t="str">
        <f>IFERROR(INDEX('Employee Master'!$H$10:$H$109,MATCH(B423,'Employee Master'!$A$10:$A$109,0)),"")</f>
        <v/>
      </c>
      <c r="E423" s="16"/>
      <c r="F423" s="19"/>
      <c r="G423" s="19"/>
      <c r="H423" s="16">
        <v>0</v>
      </c>
      <c r="I423" s="9"/>
      <c r="J423" s="16" t="str">
        <f t="shared" si="12"/>
        <v/>
      </c>
      <c r="K423" s="16" t="str">
        <f>IF(F423&lt;&gt;"",IF(F423&gt;Lists!$L$10,"Late","On Time"),"")</f>
        <v/>
      </c>
      <c r="L423" s="16" t="str">
        <f>IF(G423&lt;&gt;"",IF(G423&lt;Lists!$L$11,"Early","On Time"),"")</f>
        <v/>
      </c>
      <c r="M423" s="9" t="str">
        <f t="shared" si="13"/>
        <v/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45" x14ac:dyDescent="0.3">
      <c r="A424" s="18"/>
      <c r="B424" s="9"/>
      <c r="C424" s="9" t="str">
        <f>IFERROR(INDEX('Employee Master'!$B$10:$B$109,MATCH(B424,'Employee Master'!$A$10:$A$109,0)),"")</f>
        <v/>
      </c>
      <c r="D424" s="9" t="str">
        <f>IFERROR(INDEX('Employee Master'!$H$10:$H$109,MATCH(B424,'Employee Master'!$A$10:$A$109,0)),"")</f>
        <v/>
      </c>
      <c r="E424" s="16"/>
      <c r="F424" s="19"/>
      <c r="G424" s="19"/>
      <c r="H424" s="16">
        <v>0</v>
      </c>
      <c r="I424" s="9"/>
      <c r="J424" s="16" t="str">
        <f t="shared" si="12"/>
        <v/>
      </c>
      <c r="K424" s="16" t="str">
        <f>IF(F424&lt;&gt;"",IF(F424&gt;Lists!$L$10,"Late","On Time"),"")</f>
        <v/>
      </c>
      <c r="L424" s="16" t="str">
        <f>IF(G424&lt;&gt;"",IF(G424&lt;Lists!$L$11,"Early","On Time"),"")</f>
        <v/>
      </c>
      <c r="M424" s="9" t="str">
        <f t="shared" si="13"/>
        <v/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45" x14ac:dyDescent="0.3">
      <c r="A425" s="18"/>
      <c r="B425" s="9"/>
      <c r="C425" s="9" t="str">
        <f>IFERROR(INDEX('Employee Master'!$B$10:$B$109,MATCH(B425,'Employee Master'!$A$10:$A$109,0)),"")</f>
        <v/>
      </c>
      <c r="D425" s="9" t="str">
        <f>IFERROR(INDEX('Employee Master'!$H$10:$H$109,MATCH(B425,'Employee Master'!$A$10:$A$109,0)),"")</f>
        <v/>
      </c>
      <c r="E425" s="16"/>
      <c r="F425" s="19"/>
      <c r="G425" s="19"/>
      <c r="H425" s="16">
        <v>0</v>
      </c>
      <c r="I425" s="9"/>
      <c r="J425" s="16" t="str">
        <f t="shared" si="12"/>
        <v/>
      </c>
      <c r="K425" s="16" t="str">
        <f>IF(F425&lt;&gt;"",IF(F425&gt;Lists!$L$10,"Late","On Time"),"")</f>
        <v/>
      </c>
      <c r="L425" s="16" t="str">
        <f>IF(G425&lt;&gt;"",IF(G425&lt;Lists!$L$11,"Early","On Time"),"")</f>
        <v/>
      </c>
      <c r="M425" s="9" t="str">
        <f t="shared" si="13"/>
        <v/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45" x14ac:dyDescent="0.3">
      <c r="A426" s="18"/>
      <c r="B426" s="9"/>
      <c r="C426" s="9" t="str">
        <f>IFERROR(INDEX('Employee Master'!$B$10:$B$109,MATCH(B426,'Employee Master'!$A$10:$A$109,0)),"")</f>
        <v/>
      </c>
      <c r="D426" s="9" t="str">
        <f>IFERROR(INDEX('Employee Master'!$H$10:$H$109,MATCH(B426,'Employee Master'!$A$10:$A$109,0)),"")</f>
        <v/>
      </c>
      <c r="E426" s="16"/>
      <c r="F426" s="19"/>
      <c r="G426" s="19"/>
      <c r="H426" s="16">
        <v>0</v>
      </c>
      <c r="I426" s="9"/>
      <c r="J426" s="16" t="str">
        <f t="shared" si="12"/>
        <v/>
      </c>
      <c r="K426" s="16" t="str">
        <f>IF(F426&lt;&gt;"",IF(F426&gt;Lists!$L$10,"Late","On Time"),"")</f>
        <v/>
      </c>
      <c r="L426" s="16" t="str">
        <f>IF(G426&lt;&gt;"",IF(G426&lt;Lists!$L$11,"Early","On Time"),"")</f>
        <v/>
      </c>
      <c r="M426" s="9" t="str">
        <f t="shared" si="13"/>
        <v/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45" x14ac:dyDescent="0.3">
      <c r="A427" s="18"/>
      <c r="B427" s="9"/>
      <c r="C427" s="9" t="str">
        <f>IFERROR(INDEX('Employee Master'!$B$10:$B$109,MATCH(B427,'Employee Master'!$A$10:$A$109,0)),"")</f>
        <v/>
      </c>
      <c r="D427" s="9" t="str">
        <f>IFERROR(INDEX('Employee Master'!$H$10:$H$109,MATCH(B427,'Employee Master'!$A$10:$A$109,0)),"")</f>
        <v/>
      </c>
      <c r="E427" s="16"/>
      <c r="F427" s="19"/>
      <c r="G427" s="19"/>
      <c r="H427" s="16">
        <v>0</v>
      </c>
      <c r="I427" s="9"/>
      <c r="J427" s="16" t="str">
        <f t="shared" si="12"/>
        <v/>
      </c>
      <c r="K427" s="16" t="str">
        <f>IF(F427&lt;&gt;"",IF(F427&gt;Lists!$L$10,"Late","On Time"),"")</f>
        <v/>
      </c>
      <c r="L427" s="16" t="str">
        <f>IF(G427&lt;&gt;"",IF(G427&lt;Lists!$L$11,"Early","On Time"),"")</f>
        <v/>
      </c>
      <c r="M427" s="9" t="str">
        <f t="shared" si="13"/>
        <v/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45" x14ac:dyDescent="0.3">
      <c r="A428" s="18"/>
      <c r="B428" s="9"/>
      <c r="C428" s="9" t="str">
        <f>IFERROR(INDEX('Employee Master'!$B$10:$B$109,MATCH(B428,'Employee Master'!$A$10:$A$109,0)),"")</f>
        <v/>
      </c>
      <c r="D428" s="9" t="str">
        <f>IFERROR(INDEX('Employee Master'!$H$10:$H$109,MATCH(B428,'Employee Master'!$A$10:$A$109,0)),"")</f>
        <v/>
      </c>
      <c r="E428" s="16"/>
      <c r="F428" s="19"/>
      <c r="G428" s="19"/>
      <c r="H428" s="16">
        <v>0</v>
      </c>
      <c r="I428" s="9"/>
      <c r="J428" s="16" t="str">
        <f t="shared" si="12"/>
        <v/>
      </c>
      <c r="K428" s="16" t="str">
        <f>IF(F428&lt;&gt;"",IF(F428&gt;Lists!$L$10,"Late","On Time"),"")</f>
        <v/>
      </c>
      <c r="L428" s="16" t="str">
        <f>IF(G428&lt;&gt;"",IF(G428&lt;Lists!$L$11,"Early","On Time"),"")</f>
        <v/>
      </c>
      <c r="M428" s="9" t="str">
        <f t="shared" si="13"/>
        <v/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45" x14ac:dyDescent="0.3">
      <c r="A429" s="18"/>
      <c r="B429" s="9"/>
      <c r="C429" s="9" t="str">
        <f>IFERROR(INDEX('Employee Master'!$B$10:$B$109,MATCH(B429,'Employee Master'!$A$10:$A$109,0)),"")</f>
        <v/>
      </c>
      <c r="D429" s="9" t="str">
        <f>IFERROR(INDEX('Employee Master'!$H$10:$H$109,MATCH(B429,'Employee Master'!$A$10:$A$109,0)),"")</f>
        <v/>
      </c>
      <c r="E429" s="16"/>
      <c r="F429" s="19"/>
      <c r="G429" s="19"/>
      <c r="H429" s="16">
        <v>0</v>
      </c>
      <c r="I429" s="9"/>
      <c r="J429" s="16" t="str">
        <f t="shared" si="12"/>
        <v/>
      </c>
      <c r="K429" s="16" t="str">
        <f>IF(F429&lt;&gt;"",IF(F429&gt;Lists!$L$10,"Late","On Time"),"")</f>
        <v/>
      </c>
      <c r="L429" s="16" t="str">
        <f>IF(G429&lt;&gt;"",IF(G429&lt;Lists!$L$11,"Early","On Time"),"")</f>
        <v/>
      </c>
      <c r="M429" s="9" t="str">
        <f t="shared" si="13"/>
        <v/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45" x14ac:dyDescent="0.3">
      <c r="A430" s="18"/>
      <c r="B430" s="9"/>
      <c r="C430" s="9" t="str">
        <f>IFERROR(INDEX('Employee Master'!$B$10:$B$109,MATCH(B430,'Employee Master'!$A$10:$A$109,0)),"")</f>
        <v/>
      </c>
      <c r="D430" s="9" t="str">
        <f>IFERROR(INDEX('Employee Master'!$H$10:$H$109,MATCH(B430,'Employee Master'!$A$10:$A$109,0)),"")</f>
        <v/>
      </c>
      <c r="E430" s="16"/>
      <c r="F430" s="19"/>
      <c r="G430" s="19"/>
      <c r="H430" s="16">
        <v>0</v>
      </c>
      <c r="I430" s="9"/>
      <c r="J430" s="16" t="str">
        <f t="shared" si="12"/>
        <v/>
      </c>
      <c r="K430" s="16" t="str">
        <f>IF(F430&lt;&gt;"",IF(F430&gt;Lists!$L$10,"Late","On Time"),"")</f>
        <v/>
      </c>
      <c r="L430" s="16" t="str">
        <f>IF(G430&lt;&gt;"",IF(G430&lt;Lists!$L$11,"Early","On Time"),"")</f>
        <v/>
      </c>
      <c r="M430" s="9" t="str">
        <f t="shared" si="13"/>
        <v/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45" x14ac:dyDescent="0.3">
      <c r="A431" s="18"/>
      <c r="B431" s="9"/>
      <c r="C431" s="9" t="str">
        <f>IFERROR(INDEX('Employee Master'!$B$10:$B$109,MATCH(B431,'Employee Master'!$A$10:$A$109,0)),"")</f>
        <v/>
      </c>
      <c r="D431" s="9" t="str">
        <f>IFERROR(INDEX('Employee Master'!$H$10:$H$109,MATCH(B431,'Employee Master'!$A$10:$A$109,0)),"")</f>
        <v/>
      </c>
      <c r="E431" s="16"/>
      <c r="F431" s="19"/>
      <c r="G431" s="19"/>
      <c r="H431" s="16">
        <v>0</v>
      </c>
      <c r="I431" s="9"/>
      <c r="J431" s="16" t="str">
        <f t="shared" si="12"/>
        <v/>
      </c>
      <c r="K431" s="16" t="str">
        <f>IF(F431&lt;&gt;"",IF(F431&gt;Lists!$L$10,"Late","On Time"),"")</f>
        <v/>
      </c>
      <c r="L431" s="16" t="str">
        <f>IF(G431&lt;&gt;"",IF(G431&lt;Lists!$L$11,"Early","On Time"),"")</f>
        <v/>
      </c>
      <c r="M431" s="9" t="str">
        <f t="shared" si="13"/>
        <v/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45" x14ac:dyDescent="0.3">
      <c r="A432" s="18"/>
      <c r="B432" s="9"/>
      <c r="C432" s="9" t="str">
        <f>IFERROR(INDEX('Employee Master'!$B$10:$B$109,MATCH(B432,'Employee Master'!$A$10:$A$109,0)),"")</f>
        <v/>
      </c>
      <c r="D432" s="9" t="str">
        <f>IFERROR(INDEX('Employee Master'!$H$10:$H$109,MATCH(B432,'Employee Master'!$A$10:$A$109,0)),"")</f>
        <v/>
      </c>
      <c r="E432" s="16"/>
      <c r="F432" s="19"/>
      <c r="G432" s="19"/>
      <c r="H432" s="16">
        <v>0</v>
      </c>
      <c r="I432" s="9"/>
      <c r="J432" s="16" t="str">
        <f t="shared" si="12"/>
        <v/>
      </c>
      <c r="K432" s="16" t="str">
        <f>IF(F432&lt;&gt;"",IF(F432&gt;Lists!$L$10,"Late","On Time"),"")</f>
        <v/>
      </c>
      <c r="L432" s="16" t="str">
        <f>IF(G432&lt;&gt;"",IF(G432&lt;Lists!$L$11,"Early","On Time"),"")</f>
        <v/>
      </c>
      <c r="M432" s="9" t="str">
        <f t="shared" si="13"/>
        <v/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45" x14ac:dyDescent="0.3">
      <c r="A433" s="18"/>
      <c r="B433" s="9"/>
      <c r="C433" s="9" t="str">
        <f>IFERROR(INDEX('Employee Master'!$B$10:$B$109,MATCH(B433,'Employee Master'!$A$10:$A$109,0)),"")</f>
        <v/>
      </c>
      <c r="D433" s="9" t="str">
        <f>IFERROR(INDEX('Employee Master'!$H$10:$H$109,MATCH(B433,'Employee Master'!$A$10:$A$109,0)),"")</f>
        <v/>
      </c>
      <c r="E433" s="16"/>
      <c r="F433" s="19"/>
      <c r="G433" s="19"/>
      <c r="H433" s="16">
        <v>0</v>
      </c>
      <c r="I433" s="9"/>
      <c r="J433" s="16" t="str">
        <f t="shared" si="12"/>
        <v/>
      </c>
      <c r="K433" s="16" t="str">
        <f>IF(F433&lt;&gt;"",IF(F433&gt;Lists!$L$10,"Late","On Time"),"")</f>
        <v/>
      </c>
      <c r="L433" s="16" t="str">
        <f>IF(G433&lt;&gt;"",IF(G433&lt;Lists!$L$11,"Early","On Time"),"")</f>
        <v/>
      </c>
      <c r="M433" s="9" t="str">
        <f t="shared" si="13"/>
        <v/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45" x14ac:dyDescent="0.3">
      <c r="A434" s="18"/>
      <c r="B434" s="9"/>
      <c r="C434" s="9" t="str">
        <f>IFERROR(INDEX('Employee Master'!$B$10:$B$109,MATCH(B434,'Employee Master'!$A$10:$A$109,0)),"")</f>
        <v/>
      </c>
      <c r="D434" s="9" t="str">
        <f>IFERROR(INDEX('Employee Master'!$H$10:$H$109,MATCH(B434,'Employee Master'!$A$10:$A$109,0)),"")</f>
        <v/>
      </c>
      <c r="E434" s="16"/>
      <c r="F434" s="19"/>
      <c r="G434" s="19"/>
      <c r="H434" s="16">
        <v>0</v>
      </c>
      <c r="I434" s="9"/>
      <c r="J434" s="16" t="str">
        <f t="shared" si="12"/>
        <v/>
      </c>
      <c r="K434" s="16" t="str">
        <f>IF(F434&lt;&gt;"",IF(F434&gt;Lists!$L$10,"Late","On Time"),"")</f>
        <v/>
      </c>
      <c r="L434" s="16" t="str">
        <f>IF(G434&lt;&gt;"",IF(G434&lt;Lists!$L$11,"Early","On Time"),"")</f>
        <v/>
      </c>
      <c r="M434" s="9" t="str">
        <f t="shared" si="13"/>
        <v/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45" x14ac:dyDescent="0.3">
      <c r="A435" s="18"/>
      <c r="B435" s="9"/>
      <c r="C435" s="9" t="str">
        <f>IFERROR(INDEX('Employee Master'!$B$10:$B$109,MATCH(B435,'Employee Master'!$A$10:$A$109,0)),"")</f>
        <v/>
      </c>
      <c r="D435" s="9" t="str">
        <f>IFERROR(INDEX('Employee Master'!$H$10:$H$109,MATCH(B435,'Employee Master'!$A$10:$A$109,0)),"")</f>
        <v/>
      </c>
      <c r="E435" s="16"/>
      <c r="F435" s="19"/>
      <c r="G435" s="19"/>
      <c r="H435" s="16">
        <v>0</v>
      </c>
      <c r="I435" s="9"/>
      <c r="J435" s="16" t="str">
        <f t="shared" si="12"/>
        <v/>
      </c>
      <c r="K435" s="16" t="str">
        <f>IF(F435&lt;&gt;"",IF(F435&gt;Lists!$L$10,"Late","On Time"),"")</f>
        <v/>
      </c>
      <c r="L435" s="16" t="str">
        <f>IF(G435&lt;&gt;"",IF(G435&lt;Lists!$L$11,"Early","On Time"),"")</f>
        <v/>
      </c>
      <c r="M435" s="9" t="str">
        <f t="shared" si="13"/>
        <v/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45" x14ac:dyDescent="0.3">
      <c r="A436" s="18"/>
      <c r="B436" s="9"/>
      <c r="C436" s="9" t="str">
        <f>IFERROR(INDEX('Employee Master'!$B$10:$B$109,MATCH(B436,'Employee Master'!$A$10:$A$109,0)),"")</f>
        <v/>
      </c>
      <c r="D436" s="9" t="str">
        <f>IFERROR(INDEX('Employee Master'!$H$10:$H$109,MATCH(B436,'Employee Master'!$A$10:$A$109,0)),"")</f>
        <v/>
      </c>
      <c r="E436" s="16"/>
      <c r="F436" s="19"/>
      <c r="G436" s="19"/>
      <c r="H436" s="16">
        <v>0</v>
      </c>
      <c r="I436" s="9"/>
      <c r="J436" s="16" t="str">
        <f t="shared" si="12"/>
        <v/>
      </c>
      <c r="K436" s="16" t="str">
        <f>IF(F436&lt;&gt;"",IF(F436&gt;Lists!$L$10,"Late","On Time"),"")</f>
        <v/>
      </c>
      <c r="L436" s="16" t="str">
        <f>IF(G436&lt;&gt;"",IF(G436&lt;Lists!$L$11,"Early","On Time"),"")</f>
        <v/>
      </c>
      <c r="M436" s="9" t="str">
        <f t="shared" si="13"/>
        <v/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45" x14ac:dyDescent="0.3">
      <c r="A437" s="18"/>
      <c r="B437" s="9"/>
      <c r="C437" s="9" t="str">
        <f>IFERROR(INDEX('Employee Master'!$B$10:$B$109,MATCH(B437,'Employee Master'!$A$10:$A$109,0)),"")</f>
        <v/>
      </c>
      <c r="D437" s="9" t="str">
        <f>IFERROR(INDEX('Employee Master'!$H$10:$H$109,MATCH(B437,'Employee Master'!$A$10:$A$109,0)),"")</f>
        <v/>
      </c>
      <c r="E437" s="16"/>
      <c r="F437" s="19"/>
      <c r="G437" s="19"/>
      <c r="H437" s="16">
        <v>0</v>
      </c>
      <c r="I437" s="9"/>
      <c r="J437" s="16" t="str">
        <f t="shared" si="12"/>
        <v/>
      </c>
      <c r="K437" s="16" t="str">
        <f>IF(F437&lt;&gt;"",IF(F437&gt;Lists!$L$10,"Late","On Time"),"")</f>
        <v/>
      </c>
      <c r="L437" s="16" t="str">
        <f>IF(G437&lt;&gt;"",IF(G437&lt;Lists!$L$11,"Early","On Time"),"")</f>
        <v/>
      </c>
      <c r="M437" s="9" t="str">
        <f t="shared" si="13"/>
        <v/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45" x14ac:dyDescent="0.3">
      <c r="A438" s="18"/>
      <c r="B438" s="9"/>
      <c r="C438" s="9" t="str">
        <f>IFERROR(INDEX('Employee Master'!$B$10:$B$109,MATCH(B438,'Employee Master'!$A$10:$A$109,0)),"")</f>
        <v/>
      </c>
      <c r="D438" s="9" t="str">
        <f>IFERROR(INDEX('Employee Master'!$H$10:$H$109,MATCH(B438,'Employee Master'!$A$10:$A$109,0)),"")</f>
        <v/>
      </c>
      <c r="E438" s="16"/>
      <c r="F438" s="19"/>
      <c r="G438" s="19"/>
      <c r="H438" s="16">
        <v>0</v>
      </c>
      <c r="I438" s="9"/>
      <c r="J438" s="16" t="str">
        <f t="shared" si="12"/>
        <v/>
      </c>
      <c r="K438" s="16" t="str">
        <f>IF(F438&lt;&gt;"",IF(F438&gt;Lists!$L$10,"Late","On Time"),"")</f>
        <v/>
      </c>
      <c r="L438" s="16" t="str">
        <f>IF(G438&lt;&gt;"",IF(G438&lt;Lists!$L$11,"Early","On Time"),"")</f>
        <v/>
      </c>
      <c r="M438" s="9" t="str">
        <f t="shared" si="13"/>
        <v/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45" x14ac:dyDescent="0.3">
      <c r="A439" s="18"/>
      <c r="B439" s="9"/>
      <c r="C439" s="9" t="str">
        <f>IFERROR(INDEX('Employee Master'!$B$10:$B$109,MATCH(B439,'Employee Master'!$A$10:$A$109,0)),"")</f>
        <v/>
      </c>
      <c r="D439" s="9" t="str">
        <f>IFERROR(INDEX('Employee Master'!$H$10:$H$109,MATCH(B439,'Employee Master'!$A$10:$A$109,0)),"")</f>
        <v/>
      </c>
      <c r="E439" s="16"/>
      <c r="F439" s="19"/>
      <c r="G439" s="19"/>
      <c r="H439" s="16">
        <v>0</v>
      </c>
      <c r="I439" s="9"/>
      <c r="J439" s="16" t="str">
        <f t="shared" si="12"/>
        <v/>
      </c>
      <c r="K439" s="16" t="str">
        <f>IF(F439&lt;&gt;"",IF(F439&gt;Lists!$L$10,"Late","On Time"),"")</f>
        <v/>
      </c>
      <c r="L439" s="16" t="str">
        <f>IF(G439&lt;&gt;"",IF(G439&lt;Lists!$L$11,"Early","On Time"),"")</f>
        <v/>
      </c>
      <c r="M439" s="9" t="str">
        <f t="shared" si="13"/>
        <v/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45" x14ac:dyDescent="0.3">
      <c r="A440" s="18"/>
      <c r="B440" s="9"/>
      <c r="C440" s="9" t="str">
        <f>IFERROR(INDEX('Employee Master'!$B$10:$B$109,MATCH(B440,'Employee Master'!$A$10:$A$109,0)),"")</f>
        <v/>
      </c>
      <c r="D440" s="9" t="str">
        <f>IFERROR(INDEX('Employee Master'!$H$10:$H$109,MATCH(B440,'Employee Master'!$A$10:$A$109,0)),"")</f>
        <v/>
      </c>
      <c r="E440" s="16"/>
      <c r="F440" s="19"/>
      <c r="G440" s="19"/>
      <c r="H440" s="16">
        <v>0</v>
      </c>
      <c r="I440" s="9"/>
      <c r="J440" s="16" t="str">
        <f t="shared" si="12"/>
        <v/>
      </c>
      <c r="K440" s="16" t="str">
        <f>IF(F440&lt;&gt;"",IF(F440&gt;Lists!$L$10,"Late","On Time"),"")</f>
        <v/>
      </c>
      <c r="L440" s="16" t="str">
        <f>IF(G440&lt;&gt;"",IF(G440&lt;Lists!$L$11,"Early","On Time"),"")</f>
        <v/>
      </c>
      <c r="M440" s="9" t="str">
        <f t="shared" si="13"/>
        <v/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45" x14ac:dyDescent="0.3">
      <c r="A441" s="18"/>
      <c r="B441" s="9"/>
      <c r="C441" s="9" t="str">
        <f>IFERROR(INDEX('Employee Master'!$B$10:$B$109,MATCH(B441,'Employee Master'!$A$10:$A$109,0)),"")</f>
        <v/>
      </c>
      <c r="D441" s="9" t="str">
        <f>IFERROR(INDEX('Employee Master'!$H$10:$H$109,MATCH(B441,'Employee Master'!$A$10:$A$109,0)),"")</f>
        <v/>
      </c>
      <c r="E441" s="16"/>
      <c r="F441" s="19"/>
      <c r="G441" s="19"/>
      <c r="H441" s="16">
        <v>0</v>
      </c>
      <c r="I441" s="9"/>
      <c r="J441" s="16" t="str">
        <f t="shared" si="12"/>
        <v/>
      </c>
      <c r="K441" s="16" t="str">
        <f>IF(F441&lt;&gt;"",IF(F441&gt;Lists!$L$10,"Late","On Time"),"")</f>
        <v/>
      </c>
      <c r="L441" s="16" t="str">
        <f>IF(G441&lt;&gt;"",IF(G441&lt;Lists!$L$11,"Early","On Time"),"")</f>
        <v/>
      </c>
      <c r="M441" s="9" t="str">
        <f t="shared" si="13"/>
        <v/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45" x14ac:dyDescent="0.3">
      <c r="A442" s="18"/>
      <c r="B442" s="9"/>
      <c r="C442" s="9" t="str">
        <f>IFERROR(INDEX('Employee Master'!$B$10:$B$109,MATCH(B442,'Employee Master'!$A$10:$A$109,0)),"")</f>
        <v/>
      </c>
      <c r="D442" s="9" t="str">
        <f>IFERROR(INDEX('Employee Master'!$H$10:$H$109,MATCH(B442,'Employee Master'!$A$10:$A$109,0)),"")</f>
        <v/>
      </c>
      <c r="E442" s="16"/>
      <c r="F442" s="19"/>
      <c r="G442" s="19"/>
      <c r="H442" s="16">
        <v>0</v>
      </c>
      <c r="I442" s="9"/>
      <c r="J442" s="16" t="str">
        <f t="shared" si="12"/>
        <v/>
      </c>
      <c r="K442" s="16" t="str">
        <f>IF(F442&lt;&gt;"",IF(F442&gt;Lists!$L$10,"Late","On Time"),"")</f>
        <v/>
      </c>
      <c r="L442" s="16" t="str">
        <f>IF(G442&lt;&gt;"",IF(G442&lt;Lists!$L$11,"Early","On Time"),"")</f>
        <v/>
      </c>
      <c r="M442" s="9" t="str">
        <f t="shared" si="13"/>
        <v/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45" x14ac:dyDescent="0.3">
      <c r="A443" s="18"/>
      <c r="B443" s="9"/>
      <c r="C443" s="9" t="str">
        <f>IFERROR(INDEX('Employee Master'!$B$10:$B$109,MATCH(B443,'Employee Master'!$A$10:$A$109,0)),"")</f>
        <v/>
      </c>
      <c r="D443" s="9" t="str">
        <f>IFERROR(INDEX('Employee Master'!$H$10:$H$109,MATCH(B443,'Employee Master'!$A$10:$A$109,0)),"")</f>
        <v/>
      </c>
      <c r="E443" s="16"/>
      <c r="F443" s="19"/>
      <c r="G443" s="19"/>
      <c r="H443" s="16">
        <v>0</v>
      </c>
      <c r="I443" s="9"/>
      <c r="J443" s="16" t="str">
        <f t="shared" si="12"/>
        <v/>
      </c>
      <c r="K443" s="16" t="str">
        <f>IF(F443&lt;&gt;"",IF(F443&gt;Lists!$L$10,"Late","On Time"),"")</f>
        <v/>
      </c>
      <c r="L443" s="16" t="str">
        <f>IF(G443&lt;&gt;"",IF(G443&lt;Lists!$L$11,"Early","On Time"),"")</f>
        <v/>
      </c>
      <c r="M443" s="9" t="str">
        <f t="shared" si="13"/>
        <v/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45" x14ac:dyDescent="0.3">
      <c r="A444" s="18"/>
      <c r="B444" s="9"/>
      <c r="C444" s="9" t="str">
        <f>IFERROR(INDEX('Employee Master'!$B$10:$B$109,MATCH(B444,'Employee Master'!$A$10:$A$109,0)),"")</f>
        <v/>
      </c>
      <c r="D444" s="9" t="str">
        <f>IFERROR(INDEX('Employee Master'!$H$10:$H$109,MATCH(B444,'Employee Master'!$A$10:$A$109,0)),"")</f>
        <v/>
      </c>
      <c r="E444" s="16"/>
      <c r="F444" s="19"/>
      <c r="G444" s="19"/>
      <c r="H444" s="16">
        <v>0</v>
      </c>
      <c r="I444" s="9"/>
      <c r="J444" s="16" t="str">
        <f t="shared" si="12"/>
        <v/>
      </c>
      <c r="K444" s="16" t="str">
        <f>IF(F444&lt;&gt;"",IF(F444&gt;Lists!$L$10,"Late","On Time"),"")</f>
        <v/>
      </c>
      <c r="L444" s="16" t="str">
        <f>IF(G444&lt;&gt;"",IF(G444&lt;Lists!$L$11,"Early","On Time"),"")</f>
        <v/>
      </c>
      <c r="M444" s="9" t="str">
        <f t="shared" si="13"/>
        <v/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45" x14ac:dyDescent="0.3">
      <c r="A445" s="18"/>
      <c r="B445" s="9"/>
      <c r="C445" s="9" t="str">
        <f>IFERROR(INDEX('Employee Master'!$B$10:$B$109,MATCH(B445,'Employee Master'!$A$10:$A$109,0)),"")</f>
        <v/>
      </c>
      <c r="D445" s="9" t="str">
        <f>IFERROR(INDEX('Employee Master'!$H$10:$H$109,MATCH(B445,'Employee Master'!$A$10:$A$109,0)),"")</f>
        <v/>
      </c>
      <c r="E445" s="16"/>
      <c r="F445" s="19"/>
      <c r="G445" s="19"/>
      <c r="H445" s="16">
        <v>0</v>
      </c>
      <c r="I445" s="9"/>
      <c r="J445" s="16" t="str">
        <f t="shared" si="12"/>
        <v/>
      </c>
      <c r="K445" s="16" t="str">
        <f>IF(F445&lt;&gt;"",IF(F445&gt;Lists!$L$10,"Late","On Time"),"")</f>
        <v/>
      </c>
      <c r="L445" s="16" t="str">
        <f>IF(G445&lt;&gt;"",IF(G445&lt;Lists!$L$11,"Early","On Time"),"")</f>
        <v/>
      </c>
      <c r="M445" s="9" t="str">
        <f t="shared" si="13"/>
        <v/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45" x14ac:dyDescent="0.3">
      <c r="A446" s="18"/>
      <c r="B446" s="9"/>
      <c r="C446" s="9" t="str">
        <f>IFERROR(INDEX('Employee Master'!$B$10:$B$109,MATCH(B446,'Employee Master'!$A$10:$A$109,0)),"")</f>
        <v/>
      </c>
      <c r="D446" s="9" t="str">
        <f>IFERROR(INDEX('Employee Master'!$H$10:$H$109,MATCH(B446,'Employee Master'!$A$10:$A$109,0)),"")</f>
        <v/>
      </c>
      <c r="E446" s="16"/>
      <c r="F446" s="19"/>
      <c r="G446" s="19"/>
      <c r="H446" s="16">
        <v>0</v>
      </c>
      <c r="I446" s="9"/>
      <c r="J446" s="16" t="str">
        <f t="shared" si="12"/>
        <v/>
      </c>
      <c r="K446" s="16" t="str">
        <f>IF(F446&lt;&gt;"",IF(F446&gt;Lists!$L$10,"Late","On Time"),"")</f>
        <v/>
      </c>
      <c r="L446" s="16" t="str">
        <f>IF(G446&lt;&gt;"",IF(G446&lt;Lists!$L$11,"Early","On Time"),"")</f>
        <v/>
      </c>
      <c r="M446" s="9" t="str">
        <f t="shared" si="13"/>
        <v/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45" x14ac:dyDescent="0.3">
      <c r="A447" s="18"/>
      <c r="B447" s="9"/>
      <c r="C447" s="9" t="str">
        <f>IFERROR(INDEX('Employee Master'!$B$10:$B$109,MATCH(B447,'Employee Master'!$A$10:$A$109,0)),"")</f>
        <v/>
      </c>
      <c r="D447" s="9" t="str">
        <f>IFERROR(INDEX('Employee Master'!$H$10:$H$109,MATCH(B447,'Employee Master'!$A$10:$A$109,0)),"")</f>
        <v/>
      </c>
      <c r="E447" s="16"/>
      <c r="F447" s="19"/>
      <c r="G447" s="19"/>
      <c r="H447" s="16">
        <v>0</v>
      </c>
      <c r="I447" s="9"/>
      <c r="J447" s="16" t="str">
        <f t="shared" si="12"/>
        <v/>
      </c>
      <c r="K447" s="16" t="str">
        <f>IF(F447&lt;&gt;"",IF(F447&gt;Lists!$L$10,"Late","On Time"),"")</f>
        <v/>
      </c>
      <c r="L447" s="16" t="str">
        <f>IF(G447&lt;&gt;"",IF(G447&lt;Lists!$L$11,"Early","On Time"),"")</f>
        <v/>
      </c>
      <c r="M447" s="9" t="str">
        <f t="shared" si="13"/>
        <v/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45" x14ac:dyDescent="0.3">
      <c r="A448" s="18"/>
      <c r="B448" s="9"/>
      <c r="C448" s="9" t="str">
        <f>IFERROR(INDEX('Employee Master'!$B$10:$B$109,MATCH(B448,'Employee Master'!$A$10:$A$109,0)),"")</f>
        <v/>
      </c>
      <c r="D448" s="9" t="str">
        <f>IFERROR(INDEX('Employee Master'!$H$10:$H$109,MATCH(B448,'Employee Master'!$A$10:$A$109,0)),"")</f>
        <v/>
      </c>
      <c r="E448" s="16"/>
      <c r="F448" s="19"/>
      <c r="G448" s="19"/>
      <c r="H448" s="16">
        <v>0</v>
      </c>
      <c r="I448" s="9"/>
      <c r="J448" s="16" t="str">
        <f t="shared" si="12"/>
        <v/>
      </c>
      <c r="K448" s="16" t="str">
        <f>IF(F448&lt;&gt;"",IF(F448&gt;Lists!$L$10,"Late","On Time"),"")</f>
        <v/>
      </c>
      <c r="L448" s="16" t="str">
        <f>IF(G448&lt;&gt;"",IF(G448&lt;Lists!$L$11,"Early","On Time"),"")</f>
        <v/>
      </c>
      <c r="M448" s="9" t="str">
        <f t="shared" si="13"/>
        <v/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45" x14ac:dyDescent="0.3">
      <c r="A449" s="18"/>
      <c r="B449" s="9"/>
      <c r="C449" s="9" t="str">
        <f>IFERROR(INDEX('Employee Master'!$B$10:$B$109,MATCH(B449,'Employee Master'!$A$10:$A$109,0)),"")</f>
        <v/>
      </c>
      <c r="D449" s="9" t="str">
        <f>IFERROR(INDEX('Employee Master'!$H$10:$H$109,MATCH(B449,'Employee Master'!$A$10:$A$109,0)),"")</f>
        <v/>
      </c>
      <c r="E449" s="16"/>
      <c r="F449" s="19"/>
      <c r="G449" s="19"/>
      <c r="H449" s="16">
        <v>0</v>
      </c>
      <c r="I449" s="9"/>
      <c r="J449" s="16" t="str">
        <f t="shared" si="12"/>
        <v/>
      </c>
      <c r="K449" s="16" t="str">
        <f>IF(F449&lt;&gt;"",IF(F449&gt;Lists!$L$10,"Late","On Time"),"")</f>
        <v/>
      </c>
      <c r="L449" s="16" t="str">
        <f>IF(G449&lt;&gt;"",IF(G449&lt;Lists!$L$11,"Early","On Time"),"")</f>
        <v/>
      </c>
      <c r="M449" s="9" t="str">
        <f t="shared" si="13"/>
        <v/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45" x14ac:dyDescent="0.3">
      <c r="A450" s="18"/>
      <c r="B450" s="9"/>
      <c r="C450" s="9" t="str">
        <f>IFERROR(INDEX('Employee Master'!$B$10:$B$109,MATCH(B450,'Employee Master'!$A$10:$A$109,0)),"")</f>
        <v/>
      </c>
      <c r="D450" s="9" t="str">
        <f>IFERROR(INDEX('Employee Master'!$H$10:$H$109,MATCH(B450,'Employee Master'!$A$10:$A$109,0)),"")</f>
        <v/>
      </c>
      <c r="E450" s="16"/>
      <c r="F450" s="19"/>
      <c r="G450" s="19"/>
      <c r="H450" s="16">
        <v>0</v>
      </c>
      <c r="I450" s="9"/>
      <c r="J450" s="16" t="str">
        <f t="shared" si="12"/>
        <v/>
      </c>
      <c r="K450" s="16" t="str">
        <f>IF(F450&lt;&gt;"",IF(F450&gt;Lists!$L$10,"Late","On Time"),"")</f>
        <v/>
      </c>
      <c r="L450" s="16" t="str">
        <f>IF(G450&lt;&gt;"",IF(G450&lt;Lists!$L$11,"Early","On Time"),"")</f>
        <v/>
      </c>
      <c r="M450" s="9" t="str">
        <f t="shared" si="13"/>
        <v/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45" x14ac:dyDescent="0.3">
      <c r="A451" s="18"/>
      <c r="B451" s="9"/>
      <c r="C451" s="9" t="str">
        <f>IFERROR(INDEX('Employee Master'!$B$10:$B$109,MATCH(B451,'Employee Master'!$A$10:$A$109,0)),"")</f>
        <v/>
      </c>
      <c r="D451" s="9" t="str">
        <f>IFERROR(INDEX('Employee Master'!$H$10:$H$109,MATCH(B451,'Employee Master'!$A$10:$A$109,0)),"")</f>
        <v/>
      </c>
      <c r="E451" s="16"/>
      <c r="F451" s="19"/>
      <c r="G451" s="19"/>
      <c r="H451" s="16">
        <v>0</v>
      </c>
      <c r="I451" s="9"/>
      <c r="J451" s="16" t="str">
        <f t="shared" si="12"/>
        <v/>
      </c>
      <c r="K451" s="16" t="str">
        <f>IF(F451&lt;&gt;"",IF(F451&gt;Lists!$L$10,"Late","On Time"),"")</f>
        <v/>
      </c>
      <c r="L451" s="16" t="str">
        <f>IF(G451&lt;&gt;"",IF(G451&lt;Lists!$L$11,"Early","On Time"),"")</f>
        <v/>
      </c>
      <c r="M451" s="9" t="str">
        <f t="shared" si="13"/>
        <v/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45" x14ac:dyDescent="0.3">
      <c r="A452" s="18"/>
      <c r="B452" s="9"/>
      <c r="C452" s="9" t="str">
        <f>IFERROR(INDEX('Employee Master'!$B$10:$B$109,MATCH(B452,'Employee Master'!$A$10:$A$109,0)),"")</f>
        <v/>
      </c>
      <c r="D452" s="9" t="str">
        <f>IFERROR(INDEX('Employee Master'!$H$10:$H$109,MATCH(B452,'Employee Master'!$A$10:$A$109,0)),"")</f>
        <v/>
      </c>
      <c r="E452" s="16"/>
      <c r="F452" s="19"/>
      <c r="G452" s="19"/>
      <c r="H452" s="16">
        <v>0</v>
      </c>
      <c r="I452" s="9"/>
      <c r="J452" s="16" t="str">
        <f t="shared" si="12"/>
        <v/>
      </c>
      <c r="K452" s="16" t="str">
        <f>IF(F452&lt;&gt;"",IF(F452&gt;Lists!$L$10,"Late","On Time"),"")</f>
        <v/>
      </c>
      <c r="L452" s="16" t="str">
        <f>IF(G452&lt;&gt;"",IF(G452&lt;Lists!$L$11,"Early","On Time"),"")</f>
        <v/>
      </c>
      <c r="M452" s="9" t="str">
        <f t="shared" si="13"/>
        <v/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45" x14ac:dyDescent="0.3">
      <c r="A453" s="18"/>
      <c r="B453" s="9"/>
      <c r="C453" s="9" t="str">
        <f>IFERROR(INDEX('Employee Master'!$B$10:$B$109,MATCH(B453,'Employee Master'!$A$10:$A$109,0)),"")</f>
        <v/>
      </c>
      <c r="D453" s="9" t="str">
        <f>IFERROR(INDEX('Employee Master'!$H$10:$H$109,MATCH(B453,'Employee Master'!$A$10:$A$109,0)),"")</f>
        <v/>
      </c>
      <c r="E453" s="16"/>
      <c r="F453" s="19"/>
      <c r="G453" s="19"/>
      <c r="H453" s="16">
        <v>0</v>
      </c>
      <c r="I453" s="9"/>
      <c r="J453" s="16" t="str">
        <f t="shared" si="12"/>
        <v/>
      </c>
      <c r="K453" s="16" t="str">
        <f>IF(F453&lt;&gt;"",IF(F453&gt;Lists!$L$10,"Late","On Time"),"")</f>
        <v/>
      </c>
      <c r="L453" s="16" t="str">
        <f>IF(G453&lt;&gt;"",IF(G453&lt;Lists!$L$11,"Early","On Time"),"")</f>
        <v/>
      </c>
      <c r="M453" s="9" t="str">
        <f t="shared" si="13"/>
        <v/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45" x14ac:dyDescent="0.3">
      <c r="A454" s="18"/>
      <c r="B454" s="9"/>
      <c r="C454" s="9" t="str">
        <f>IFERROR(INDEX('Employee Master'!$B$10:$B$109,MATCH(B454,'Employee Master'!$A$10:$A$109,0)),"")</f>
        <v/>
      </c>
      <c r="D454" s="9" t="str">
        <f>IFERROR(INDEX('Employee Master'!$H$10:$H$109,MATCH(B454,'Employee Master'!$A$10:$A$109,0)),"")</f>
        <v/>
      </c>
      <c r="E454" s="16"/>
      <c r="F454" s="19"/>
      <c r="G454" s="19"/>
      <c r="H454" s="16">
        <v>0</v>
      </c>
      <c r="I454" s="9"/>
      <c r="J454" s="16" t="str">
        <f t="shared" si="12"/>
        <v/>
      </c>
      <c r="K454" s="16" t="str">
        <f>IF(F454&lt;&gt;"",IF(F454&gt;Lists!$L$10,"Late","On Time"),"")</f>
        <v/>
      </c>
      <c r="L454" s="16" t="str">
        <f>IF(G454&lt;&gt;"",IF(G454&lt;Lists!$L$11,"Early","On Time"),"")</f>
        <v/>
      </c>
      <c r="M454" s="9" t="str">
        <f t="shared" si="13"/>
        <v/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45" x14ac:dyDescent="0.3">
      <c r="A455" s="18"/>
      <c r="B455" s="9"/>
      <c r="C455" s="9" t="str">
        <f>IFERROR(INDEX('Employee Master'!$B$10:$B$109,MATCH(B455,'Employee Master'!$A$10:$A$109,0)),"")</f>
        <v/>
      </c>
      <c r="D455" s="9" t="str">
        <f>IFERROR(INDEX('Employee Master'!$H$10:$H$109,MATCH(B455,'Employee Master'!$A$10:$A$109,0)),"")</f>
        <v/>
      </c>
      <c r="E455" s="16"/>
      <c r="F455" s="19"/>
      <c r="G455" s="19"/>
      <c r="H455" s="16">
        <v>0</v>
      </c>
      <c r="I455" s="9"/>
      <c r="J455" s="16" t="str">
        <f t="shared" si="12"/>
        <v/>
      </c>
      <c r="K455" s="16" t="str">
        <f>IF(F455&lt;&gt;"",IF(F455&gt;Lists!$L$10,"Late","On Time"),"")</f>
        <v/>
      </c>
      <c r="L455" s="16" t="str">
        <f>IF(G455&lt;&gt;"",IF(G455&lt;Lists!$L$11,"Early","On Time"),"")</f>
        <v/>
      </c>
      <c r="M455" s="9" t="str">
        <f t="shared" si="13"/>
        <v/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45" x14ac:dyDescent="0.3">
      <c r="A456" s="18"/>
      <c r="B456" s="9"/>
      <c r="C456" s="9" t="str">
        <f>IFERROR(INDEX('Employee Master'!$B$10:$B$109,MATCH(B456,'Employee Master'!$A$10:$A$109,0)),"")</f>
        <v/>
      </c>
      <c r="D456" s="9" t="str">
        <f>IFERROR(INDEX('Employee Master'!$H$10:$H$109,MATCH(B456,'Employee Master'!$A$10:$A$109,0)),"")</f>
        <v/>
      </c>
      <c r="E456" s="16"/>
      <c r="F456" s="19"/>
      <c r="G456" s="19"/>
      <c r="H456" s="16">
        <v>0</v>
      </c>
      <c r="I456" s="9"/>
      <c r="J456" s="16" t="str">
        <f t="shared" si="12"/>
        <v/>
      </c>
      <c r="K456" s="16" t="str">
        <f>IF(F456&lt;&gt;"",IF(F456&gt;Lists!$L$10,"Late","On Time"),"")</f>
        <v/>
      </c>
      <c r="L456" s="16" t="str">
        <f>IF(G456&lt;&gt;"",IF(G456&lt;Lists!$L$11,"Early","On Time"),"")</f>
        <v/>
      </c>
      <c r="M456" s="9" t="str">
        <f t="shared" si="13"/>
        <v/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45" x14ac:dyDescent="0.3">
      <c r="A457" s="18"/>
      <c r="B457" s="9"/>
      <c r="C457" s="9" t="str">
        <f>IFERROR(INDEX('Employee Master'!$B$10:$B$109,MATCH(B457,'Employee Master'!$A$10:$A$109,0)),"")</f>
        <v/>
      </c>
      <c r="D457" s="9" t="str">
        <f>IFERROR(INDEX('Employee Master'!$H$10:$H$109,MATCH(B457,'Employee Master'!$A$10:$A$109,0)),"")</f>
        <v/>
      </c>
      <c r="E457" s="16"/>
      <c r="F457" s="19"/>
      <c r="G457" s="19"/>
      <c r="H457" s="16">
        <v>0</v>
      </c>
      <c r="I457" s="9"/>
      <c r="J457" s="16" t="str">
        <f t="shared" si="12"/>
        <v/>
      </c>
      <c r="K457" s="16" t="str">
        <f>IF(F457&lt;&gt;"",IF(F457&gt;Lists!$L$10,"Late","On Time"),"")</f>
        <v/>
      </c>
      <c r="L457" s="16" t="str">
        <f>IF(G457&lt;&gt;"",IF(G457&lt;Lists!$L$11,"Early","On Time"),"")</f>
        <v/>
      </c>
      <c r="M457" s="9" t="str">
        <f t="shared" si="13"/>
        <v/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45" x14ac:dyDescent="0.3">
      <c r="A458" s="18"/>
      <c r="B458" s="9"/>
      <c r="C458" s="9" t="str">
        <f>IFERROR(INDEX('Employee Master'!$B$10:$B$109,MATCH(B458,'Employee Master'!$A$10:$A$109,0)),"")</f>
        <v/>
      </c>
      <c r="D458" s="9" t="str">
        <f>IFERROR(INDEX('Employee Master'!$H$10:$H$109,MATCH(B458,'Employee Master'!$A$10:$A$109,0)),"")</f>
        <v/>
      </c>
      <c r="E458" s="16"/>
      <c r="F458" s="19"/>
      <c r="G458" s="19"/>
      <c r="H458" s="16">
        <v>0</v>
      </c>
      <c r="I458" s="9"/>
      <c r="J458" s="16" t="str">
        <f t="shared" ref="J458:J509" si="14">IF(AND(F458&lt;&gt;"",G458&lt;&gt;""),ROUND((G458-F458)*24,2),"")</f>
        <v/>
      </c>
      <c r="K458" s="16" t="str">
        <f>IF(F458&lt;&gt;"",IF(F458&gt;Lists!$L$10,"Late","On Time"),"")</f>
        <v/>
      </c>
      <c r="L458" s="16" t="str">
        <f>IF(G458&lt;&gt;"",IF(G458&lt;Lists!$L$11,"Early","On Time"),"")</f>
        <v/>
      </c>
      <c r="M458" s="9" t="str">
        <f t="shared" ref="M458:M509" si="15">IF(E458="","",E458&amp;IF(K458="Late"," +Late","")&amp;IF(L458="Early"," +Early Exit",""))</f>
        <v/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45" x14ac:dyDescent="0.3">
      <c r="A459" s="18"/>
      <c r="B459" s="9"/>
      <c r="C459" s="9" t="str">
        <f>IFERROR(INDEX('Employee Master'!$B$10:$B$109,MATCH(B459,'Employee Master'!$A$10:$A$109,0)),"")</f>
        <v/>
      </c>
      <c r="D459" s="9" t="str">
        <f>IFERROR(INDEX('Employee Master'!$H$10:$H$109,MATCH(B459,'Employee Master'!$A$10:$A$109,0)),"")</f>
        <v/>
      </c>
      <c r="E459" s="16"/>
      <c r="F459" s="19"/>
      <c r="G459" s="19"/>
      <c r="H459" s="16">
        <v>0</v>
      </c>
      <c r="I459" s="9"/>
      <c r="J459" s="16" t="str">
        <f t="shared" si="14"/>
        <v/>
      </c>
      <c r="K459" s="16" t="str">
        <f>IF(F459&lt;&gt;"",IF(F459&gt;Lists!$L$10,"Late","On Time"),"")</f>
        <v/>
      </c>
      <c r="L459" s="16" t="str">
        <f>IF(G459&lt;&gt;"",IF(G459&lt;Lists!$L$11,"Early","On Time"),"")</f>
        <v/>
      </c>
      <c r="M459" s="9" t="str">
        <f t="shared" si="15"/>
        <v/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45" x14ac:dyDescent="0.3">
      <c r="A460" s="18"/>
      <c r="B460" s="9"/>
      <c r="C460" s="9" t="str">
        <f>IFERROR(INDEX('Employee Master'!$B$10:$B$109,MATCH(B460,'Employee Master'!$A$10:$A$109,0)),"")</f>
        <v/>
      </c>
      <c r="D460" s="9" t="str">
        <f>IFERROR(INDEX('Employee Master'!$H$10:$H$109,MATCH(B460,'Employee Master'!$A$10:$A$109,0)),"")</f>
        <v/>
      </c>
      <c r="E460" s="16"/>
      <c r="F460" s="19"/>
      <c r="G460" s="19"/>
      <c r="H460" s="16">
        <v>0</v>
      </c>
      <c r="I460" s="9"/>
      <c r="J460" s="16" t="str">
        <f t="shared" si="14"/>
        <v/>
      </c>
      <c r="K460" s="16" t="str">
        <f>IF(F460&lt;&gt;"",IF(F460&gt;Lists!$L$10,"Late","On Time"),"")</f>
        <v/>
      </c>
      <c r="L460" s="16" t="str">
        <f>IF(G460&lt;&gt;"",IF(G460&lt;Lists!$L$11,"Early","On Time"),"")</f>
        <v/>
      </c>
      <c r="M460" s="9" t="str">
        <f t="shared" si="15"/>
        <v/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45" x14ac:dyDescent="0.3">
      <c r="A461" s="18"/>
      <c r="B461" s="9"/>
      <c r="C461" s="9" t="str">
        <f>IFERROR(INDEX('Employee Master'!$B$10:$B$109,MATCH(B461,'Employee Master'!$A$10:$A$109,0)),"")</f>
        <v/>
      </c>
      <c r="D461" s="9" t="str">
        <f>IFERROR(INDEX('Employee Master'!$H$10:$H$109,MATCH(B461,'Employee Master'!$A$10:$A$109,0)),"")</f>
        <v/>
      </c>
      <c r="E461" s="16"/>
      <c r="F461" s="19"/>
      <c r="G461" s="19"/>
      <c r="H461" s="16">
        <v>0</v>
      </c>
      <c r="I461" s="9"/>
      <c r="J461" s="16" t="str">
        <f t="shared" si="14"/>
        <v/>
      </c>
      <c r="K461" s="16" t="str">
        <f>IF(F461&lt;&gt;"",IF(F461&gt;Lists!$L$10,"Late","On Time"),"")</f>
        <v/>
      </c>
      <c r="L461" s="16" t="str">
        <f>IF(G461&lt;&gt;"",IF(G461&lt;Lists!$L$11,"Early","On Time"),"")</f>
        <v/>
      </c>
      <c r="M461" s="9" t="str">
        <f t="shared" si="15"/>
        <v/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45" x14ac:dyDescent="0.3">
      <c r="A462" s="18"/>
      <c r="B462" s="9"/>
      <c r="C462" s="9" t="str">
        <f>IFERROR(INDEX('Employee Master'!$B$10:$B$109,MATCH(B462,'Employee Master'!$A$10:$A$109,0)),"")</f>
        <v/>
      </c>
      <c r="D462" s="9" t="str">
        <f>IFERROR(INDEX('Employee Master'!$H$10:$H$109,MATCH(B462,'Employee Master'!$A$10:$A$109,0)),"")</f>
        <v/>
      </c>
      <c r="E462" s="16"/>
      <c r="F462" s="19"/>
      <c r="G462" s="19"/>
      <c r="H462" s="16">
        <v>0</v>
      </c>
      <c r="I462" s="9"/>
      <c r="J462" s="16" t="str">
        <f t="shared" si="14"/>
        <v/>
      </c>
      <c r="K462" s="16" t="str">
        <f>IF(F462&lt;&gt;"",IF(F462&gt;Lists!$L$10,"Late","On Time"),"")</f>
        <v/>
      </c>
      <c r="L462" s="16" t="str">
        <f>IF(G462&lt;&gt;"",IF(G462&lt;Lists!$L$11,"Early","On Time"),"")</f>
        <v/>
      </c>
      <c r="M462" s="9" t="str">
        <f t="shared" si="15"/>
        <v/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45" x14ac:dyDescent="0.3">
      <c r="A463" s="18"/>
      <c r="B463" s="9"/>
      <c r="C463" s="9" t="str">
        <f>IFERROR(INDEX('Employee Master'!$B$10:$B$109,MATCH(B463,'Employee Master'!$A$10:$A$109,0)),"")</f>
        <v/>
      </c>
      <c r="D463" s="9" t="str">
        <f>IFERROR(INDEX('Employee Master'!$H$10:$H$109,MATCH(B463,'Employee Master'!$A$10:$A$109,0)),"")</f>
        <v/>
      </c>
      <c r="E463" s="16"/>
      <c r="F463" s="19"/>
      <c r="G463" s="19"/>
      <c r="H463" s="16">
        <v>0</v>
      </c>
      <c r="I463" s="9"/>
      <c r="J463" s="16" t="str">
        <f t="shared" si="14"/>
        <v/>
      </c>
      <c r="K463" s="16" t="str">
        <f>IF(F463&lt;&gt;"",IF(F463&gt;Lists!$L$10,"Late","On Time"),"")</f>
        <v/>
      </c>
      <c r="L463" s="16" t="str">
        <f>IF(G463&lt;&gt;"",IF(G463&lt;Lists!$L$11,"Early","On Time"),"")</f>
        <v/>
      </c>
      <c r="M463" s="9" t="str">
        <f t="shared" si="15"/>
        <v/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45" x14ac:dyDescent="0.3">
      <c r="A464" s="18"/>
      <c r="B464" s="9"/>
      <c r="C464" s="9" t="str">
        <f>IFERROR(INDEX('Employee Master'!$B$10:$B$109,MATCH(B464,'Employee Master'!$A$10:$A$109,0)),"")</f>
        <v/>
      </c>
      <c r="D464" s="9" t="str">
        <f>IFERROR(INDEX('Employee Master'!$H$10:$H$109,MATCH(B464,'Employee Master'!$A$10:$A$109,0)),"")</f>
        <v/>
      </c>
      <c r="E464" s="16"/>
      <c r="F464" s="19"/>
      <c r="G464" s="19"/>
      <c r="H464" s="16">
        <v>0</v>
      </c>
      <c r="I464" s="9"/>
      <c r="J464" s="16" t="str">
        <f t="shared" si="14"/>
        <v/>
      </c>
      <c r="K464" s="16" t="str">
        <f>IF(F464&lt;&gt;"",IF(F464&gt;Lists!$L$10,"Late","On Time"),"")</f>
        <v/>
      </c>
      <c r="L464" s="16" t="str">
        <f>IF(G464&lt;&gt;"",IF(G464&lt;Lists!$L$11,"Early","On Time"),"")</f>
        <v/>
      </c>
      <c r="M464" s="9" t="str">
        <f t="shared" si="15"/>
        <v/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45" x14ac:dyDescent="0.3">
      <c r="A465" s="18"/>
      <c r="B465" s="9"/>
      <c r="C465" s="9" t="str">
        <f>IFERROR(INDEX('Employee Master'!$B$10:$B$109,MATCH(B465,'Employee Master'!$A$10:$A$109,0)),"")</f>
        <v/>
      </c>
      <c r="D465" s="9" t="str">
        <f>IFERROR(INDEX('Employee Master'!$H$10:$H$109,MATCH(B465,'Employee Master'!$A$10:$A$109,0)),"")</f>
        <v/>
      </c>
      <c r="E465" s="16"/>
      <c r="F465" s="19"/>
      <c r="G465" s="19"/>
      <c r="H465" s="16">
        <v>0</v>
      </c>
      <c r="I465" s="9"/>
      <c r="J465" s="16" t="str">
        <f t="shared" si="14"/>
        <v/>
      </c>
      <c r="K465" s="16" t="str">
        <f>IF(F465&lt;&gt;"",IF(F465&gt;Lists!$L$10,"Late","On Time"),"")</f>
        <v/>
      </c>
      <c r="L465" s="16" t="str">
        <f>IF(G465&lt;&gt;"",IF(G465&lt;Lists!$L$11,"Early","On Time"),"")</f>
        <v/>
      </c>
      <c r="M465" s="9" t="str">
        <f t="shared" si="15"/>
        <v/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45" x14ac:dyDescent="0.3">
      <c r="A466" s="18"/>
      <c r="B466" s="9"/>
      <c r="C466" s="9" t="str">
        <f>IFERROR(INDEX('Employee Master'!$B$10:$B$109,MATCH(B466,'Employee Master'!$A$10:$A$109,0)),"")</f>
        <v/>
      </c>
      <c r="D466" s="9" t="str">
        <f>IFERROR(INDEX('Employee Master'!$H$10:$H$109,MATCH(B466,'Employee Master'!$A$10:$A$109,0)),"")</f>
        <v/>
      </c>
      <c r="E466" s="16"/>
      <c r="F466" s="19"/>
      <c r="G466" s="19"/>
      <c r="H466" s="16">
        <v>0</v>
      </c>
      <c r="I466" s="9"/>
      <c r="J466" s="16" t="str">
        <f t="shared" si="14"/>
        <v/>
      </c>
      <c r="K466" s="16" t="str">
        <f>IF(F466&lt;&gt;"",IF(F466&gt;Lists!$L$10,"Late","On Time"),"")</f>
        <v/>
      </c>
      <c r="L466" s="16" t="str">
        <f>IF(G466&lt;&gt;"",IF(G466&lt;Lists!$L$11,"Early","On Time"),"")</f>
        <v/>
      </c>
      <c r="M466" s="9" t="str">
        <f t="shared" si="15"/>
        <v/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45" x14ac:dyDescent="0.3">
      <c r="A467" s="18"/>
      <c r="B467" s="9"/>
      <c r="C467" s="9" t="str">
        <f>IFERROR(INDEX('Employee Master'!$B$10:$B$109,MATCH(B467,'Employee Master'!$A$10:$A$109,0)),"")</f>
        <v/>
      </c>
      <c r="D467" s="9" t="str">
        <f>IFERROR(INDEX('Employee Master'!$H$10:$H$109,MATCH(B467,'Employee Master'!$A$10:$A$109,0)),"")</f>
        <v/>
      </c>
      <c r="E467" s="16"/>
      <c r="F467" s="19"/>
      <c r="G467" s="19"/>
      <c r="H467" s="16">
        <v>0</v>
      </c>
      <c r="I467" s="9"/>
      <c r="J467" s="16" t="str">
        <f t="shared" si="14"/>
        <v/>
      </c>
      <c r="K467" s="16" t="str">
        <f>IF(F467&lt;&gt;"",IF(F467&gt;Lists!$L$10,"Late","On Time"),"")</f>
        <v/>
      </c>
      <c r="L467" s="16" t="str">
        <f>IF(G467&lt;&gt;"",IF(G467&lt;Lists!$L$11,"Early","On Time"),"")</f>
        <v/>
      </c>
      <c r="M467" s="9" t="str">
        <f t="shared" si="15"/>
        <v/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45" x14ac:dyDescent="0.3">
      <c r="A468" s="18"/>
      <c r="B468" s="9"/>
      <c r="C468" s="9" t="str">
        <f>IFERROR(INDEX('Employee Master'!$B$10:$B$109,MATCH(B468,'Employee Master'!$A$10:$A$109,0)),"")</f>
        <v/>
      </c>
      <c r="D468" s="9" t="str">
        <f>IFERROR(INDEX('Employee Master'!$H$10:$H$109,MATCH(B468,'Employee Master'!$A$10:$A$109,0)),"")</f>
        <v/>
      </c>
      <c r="E468" s="16"/>
      <c r="F468" s="19"/>
      <c r="G468" s="19"/>
      <c r="H468" s="16">
        <v>0</v>
      </c>
      <c r="I468" s="9"/>
      <c r="J468" s="16" t="str">
        <f t="shared" si="14"/>
        <v/>
      </c>
      <c r="K468" s="16" t="str">
        <f>IF(F468&lt;&gt;"",IF(F468&gt;Lists!$L$10,"Late","On Time"),"")</f>
        <v/>
      </c>
      <c r="L468" s="16" t="str">
        <f>IF(G468&lt;&gt;"",IF(G468&lt;Lists!$L$11,"Early","On Time"),"")</f>
        <v/>
      </c>
      <c r="M468" s="9" t="str">
        <f t="shared" si="15"/>
        <v/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45" x14ac:dyDescent="0.3">
      <c r="A469" s="18"/>
      <c r="B469" s="9"/>
      <c r="C469" s="9" t="str">
        <f>IFERROR(INDEX('Employee Master'!$B$10:$B$109,MATCH(B469,'Employee Master'!$A$10:$A$109,0)),"")</f>
        <v/>
      </c>
      <c r="D469" s="9" t="str">
        <f>IFERROR(INDEX('Employee Master'!$H$10:$H$109,MATCH(B469,'Employee Master'!$A$10:$A$109,0)),"")</f>
        <v/>
      </c>
      <c r="E469" s="16"/>
      <c r="F469" s="19"/>
      <c r="G469" s="19"/>
      <c r="H469" s="16">
        <v>0</v>
      </c>
      <c r="I469" s="9"/>
      <c r="J469" s="16" t="str">
        <f t="shared" si="14"/>
        <v/>
      </c>
      <c r="K469" s="16" t="str">
        <f>IF(F469&lt;&gt;"",IF(F469&gt;Lists!$L$10,"Late","On Time"),"")</f>
        <v/>
      </c>
      <c r="L469" s="16" t="str">
        <f>IF(G469&lt;&gt;"",IF(G469&lt;Lists!$L$11,"Early","On Time"),"")</f>
        <v/>
      </c>
      <c r="M469" s="9" t="str">
        <f t="shared" si="15"/>
        <v/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45" x14ac:dyDescent="0.3">
      <c r="A470" s="18"/>
      <c r="B470" s="9"/>
      <c r="C470" s="9" t="str">
        <f>IFERROR(INDEX('Employee Master'!$B$10:$B$109,MATCH(B470,'Employee Master'!$A$10:$A$109,0)),"")</f>
        <v/>
      </c>
      <c r="D470" s="9" t="str">
        <f>IFERROR(INDEX('Employee Master'!$H$10:$H$109,MATCH(B470,'Employee Master'!$A$10:$A$109,0)),"")</f>
        <v/>
      </c>
      <c r="E470" s="16"/>
      <c r="F470" s="19"/>
      <c r="G470" s="19"/>
      <c r="H470" s="16">
        <v>0</v>
      </c>
      <c r="I470" s="9"/>
      <c r="J470" s="16" t="str">
        <f t="shared" si="14"/>
        <v/>
      </c>
      <c r="K470" s="16" t="str">
        <f>IF(F470&lt;&gt;"",IF(F470&gt;Lists!$L$10,"Late","On Time"),"")</f>
        <v/>
      </c>
      <c r="L470" s="16" t="str">
        <f>IF(G470&lt;&gt;"",IF(G470&lt;Lists!$L$11,"Early","On Time"),"")</f>
        <v/>
      </c>
      <c r="M470" s="9" t="str">
        <f t="shared" si="15"/>
        <v/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45" x14ac:dyDescent="0.3">
      <c r="A471" s="18"/>
      <c r="B471" s="9"/>
      <c r="C471" s="9" t="str">
        <f>IFERROR(INDEX('Employee Master'!$B$10:$B$109,MATCH(B471,'Employee Master'!$A$10:$A$109,0)),"")</f>
        <v/>
      </c>
      <c r="D471" s="9" t="str">
        <f>IFERROR(INDEX('Employee Master'!$H$10:$H$109,MATCH(B471,'Employee Master'!$A$10:$A$109,0)),"")</f>
        <v/>
      </c>
      <c r="E471" s="16"/>
      <c r="F471" s="19"/>
      <c r="G471" s="19"/>
      <c r="H471" s="16">
        <v>0</v>
      </c>
      <c r="I471" s="9"/>
      <c r="J471" s="16" t="str">
        <f t="shared" si="14"/>
        <v/>
      </c>
      <c r="K471" s="16" t="str">
        <f>IF(F471&lt;&gt;"",IF(F471&gt;Lists!$L$10,"Late","On Time"),"")</f>
        <v/>
      </c>
      <c r="L471" s="16" t="str">
        <f>IF(G471&lt;&gt;"",IF(G471&lt;Lists!$L$11,"Early","On Time"),"")</f>
        <v/>
      </c>
      <c r="M471" s="9" t="str">
        <f t="shared" si="15"/>
        <v/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45" x14ac:dyDescent="0.3">
      <c r="A472" s="18"/>
      <c r="B472" s="9"/>
      <c r="C472" s="9" t="str">
        <f>IFERROR(INDEX('Employee Master'!$B$10:$B$109,MATCH(B472,'Employee Master'!$A$10:$A$109,0)),"")</f>
        <v/>
      </c>
      <c r="D472" s="9" t="str">
        <f>IFERROR(INDEX('Employee Master'!$H$10:$H$109,MATCH(B472,'Employee Master'!$A$10:$A$109,0)),"")</f>
        <v/>
      </c>
      <c r="E472" s="16"/>
      <c r="F472" s="19"/>
      <c r="G472" s="19"/>
      <c r="H472" s="16">
        <v>0</v>
      </c>
      <c r="I472" s="9"/>
      <c r="J472" s="16" t="str">
        <f t="shared" si="14"/>
        <v/>
      </c>
      <c r="K472" s="16" t="str">
        <f>IF(F472&lt;&gt;"",IF(F472&gt;Lists!$L$10,"Late","On Time"),"")</f>
        <v/>
      </c>
      <c r="L472" s="16" t="str">
        <f>IF(G472&lt;&gt;"",IF(G472&lt;Lists!$L$11,"Early","On Time"),"")</f>
        <v/>
      </c>
      <c r="M472" s="9" t="str">
        <f t="shared" si="15"/>
        <v/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45" x14ac:dyDescent="0.3">
      <c r="A473" s="18"/>
      <c r="B473" s="9"/>
      <c r="C473" s="9" t="str">
        <f>IFERROR(INDEX('Employee Master'!$B$10:$B$109,MATCH(B473,'Employee Master'!$A$10:$A$109,0)),"")</f>
        <v/>
      </c>
      <c r="D473" s="9" t="str">
        <f>IFERROR(INDEX('Employee Master'!$H$10:$H$109,MATCH(B473,'Employee Master'!$A$10:$A$109,0)),"")</f>
        <v/>
      </c>
      <c r="E473" s="16"/>
      <c r="F473" s="19"/>
      <c r="G473" s="19"/>
      <c r="H473" s="16">
        <v>0</v>
      </c>
      <c r="I473" s="9"/>
      <c r="J473" s="16" t="str">
        <f t="shared" si="14"/>
        <v/>
      </c>
      <c r="K473" s="16" t="str">
        <f>IF(F473&lt;&gt;"",IF(F473&gt;Lists!$L$10,"Late","On Time"),"")</f>
        <v/>
      </c>
      <c r="L473" s="16" t="str">
        <f>IF(G473&lt;&gt;"",IF(G473&lt;Lists!$L$11,"Early","On Time"),"")</f>
        <v/>
      </c>
      <c r="M473" s="9" t="str">
        <f t="shared" si="15"/>
        <v/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45" x14ac:dyDescent="0.3">
      <c r="A474" s="18"/>
      <c r="B474" s="9"/>
      <c r="C474" s="9" t="str">
        <f>IFERROR(INDEX('Employee Master'!$B$10:$B$109,MATCH(B474,'Employee Master'!$A$10:$A$109,0)),"")</f>
        <v/>
      </c>
      <c r="D474" s="9" t="str">
        <f>IFERROR(INDEX('Employee Master'!$H$10:$H$109,MATCH(B474,'Employee Master'!$A$10:$A$109,0)),"")</f>
        <v/>
      </c>
      <c r="E474" s="16"/>
      <c r="F474" s="19"/>
      <c r="G474" s="19"/>
      <c r="H474" s="16">
        <v>0</v>
      </c>
      <c r="I474" s="9"/>
      <c r="J474" s="16" t="str">
        <f t="shared" si="14"/>
        <v/>
      </c>
      <c r="K474" s="16" t="str">
        <f>IF(F474&lt;&gt;"",IF(F474&gt;Lists!$L$10,"Late","On Time"),"")</f>
        <v/>
      </c>
      <c r="L474" s="16" t="str">
        <f>IF(G474&lt;&gt;"",IF(G474&lt;Lists!$L$11,"Early","On Time"),"")</f>
        <v/>
      </c>
      <c r="M474" s="9" t="str">
        <f t="shared" si="15"/>
        <v/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45" x14ac:dyDescent="0.3">
      <c r="A475" s="18"/>
      <c r="B475" s="9"/>
      <c r="C475" s="9" t="str">
        <f>IFERROR(INDEX('Employee Master'!$B$10:$B$109,MATCH(B475,'Employee Master'!$A$10:$A$109,0)),"")</f>
        <v/>
      </c>
      <c r="D475" s="9" t="str">
        <f>IFERROR(INDEX('Employee Master'!$H$10:$H$109,MATCH(B475,'Employee Master'!$A$10:$A$109,0)),"")</f>
        <v/>
      </c>
      <c r="E475" s="16"/>
      <c r="F475" s="19"/>
      <c r="G475" s="19"/>
      <c r="H475" s="16">
        <v>0</v>
      </c>
      <c r="I475" s="9"/>
      <c r="J475" s="16" t="str">
        <f t="shared" si="14"/>
        <v/>
      </c>
      <c r="K475" s="16" t="str">
        <f>IF(F475&lt;&gt;"",IF(F475&gt;Lists!$L$10,"Late","On Time"),"")</f>
        <v/>
      </c>
      <c r="L475" s="16" t="str">
        <f>IF(G475&lt;&gt;"",IF(G475&lt;Lists!$L$11,"Early","On Time"),"")</f>
        <v/>
      </c>
      <c r="M475" s="9" t="str">
        <f t="shared" si="15"/>
        <v/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45" x14ac:dyDescent="0.3">
      <c r="A476" s="18"/>
      <c r="B476" s="9"/>
      <c r="C476" s="9" t="str">
        <f>IFERROR(INDEX('Employee Master'!$B$10:$B$109,MATCH(B476,'Employee Master'!$A$10:$A$109,0)),"")</f>
        <v/>
      </c>
      <c r="D476" s="9" t="str">
        <f>IFERROR(INDEX('Employee Master'!$H$10:$H$109,MATCH(B476,'Employee Master'!$A$10:$A$109,0)),"")</f>
        <v/>
      </c>
      <c r="E476" s="16"/>
      <c r="F476" s="19"/>
      <c r="G476" s="19"/>
      <c r="H476" s="16">
        <v>0</v>
      </c>
      <c r="I476" s="9"/>
      <c r="J476" s="16" t="str">
        <f t="shared" si="14"/>
        <v/>
      </c>
      <c r="K476" s="16" t="str">
        <f>IF(F476&lt;&gt;"",IF(F476&gt;Lists!$L$10,"Late","On Time"),"")</f>
        <v/>
      </c>
      <c r="L476" s="16" t="str">
        <f>IF(G476&lt;&gt;"",IF(G476&lt;Lists!$L$11,"Early","On Time"),"")</f>
        <v/>
      </c>
      <c r="M476" s="9" t="str">
        <f t="shared" si="15"/>
        <v/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45" x14ac:dyDescent="0.3">
      <c r="A477" s="18"/>
      <c r="B477" s="9"/>
      <c r="C477" s="9" t="str">
        <f>IFERROR(INDEX('Employee Master'!$B$10:$B$109,MATCH(B477,'Employee Master'!$A$10:$A$109,0)),"")</f>
        <v/>
      </c>
      <c r="D477" s="9" t="str">
        <f>IFERROR(INDEX('Employee Master'!$H$10:$H$109,MATCH(B477,'Employee Master'!$A$10:$A$109,0)),"")</f>
        <v/>
      </c>
      <c r="E477" s="16"/>
      <c r="F477" s="19"/>
      <c r="G477" s="19"/>
      <c r="H477" s="16">
        <v>0</v>
      </c>
      <c r="I477" s="9"/>
      <c r="J477" s="16" t="str">
        <f t="shared" si="14"/>
        <v/>
      </c>
      <c r="K477" s="16" t="str">
        <f>IF(F477&lt;&gt;"",IF(F477&gt;Lists!$L$10,"Late","On Time"),"")</f>
        <v/>
      </c>
      <c r="L477" s="16" t="str">
        <f>IF(G477&lt;&gt;"",IF(G477&lt;Lists!$L$11,"Early","On Time"),"")</f>
        <v/>
      </c>
      <c r="M477" s="9" t="str">
        <f t="shared" si="15"/>
        <v/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45" x14ac:dyDescent="0.3">
      <c r="A478" s="18"/>
      <c r="B478" s="9"/>
      <c r="C478" s="9" t="str">
        <f>IFERROR(INDEX('Employee Master'!$B$10:$B$109,MATCH(B478,'Employee Master'!$A$10:$A$109,0)),"")</f>
        <v/>
      </c>
      <c r="D478" s="9" t="str">
        <f>IFERROR(INDEX('Employee Master'!$H$10:$H$109,MATCH(B478,'Employee Master'!$A$10:$A$109,0)),"")</f>
        <v/>
      </c>
      <c r="E478" s="16"/>
      <c r="F478" s="19"/>
      <c r="G478" s="19"/>
      <c r="H478" s="16">
        <v>0</v>
      </c>
      <c r="I478" s="9"/>
      <c r="J478" s="16" t="str">
        <f t="shared" si="14"/>
        <v/>
      </c>
      <c r="K478" s="16" t="str">
        <f>IF(F478&lt;&gt;"",IF(F478&gt;Lists!$L$10,"Late","On Time"),"")</f>
        <v/>
      </c>
      <c r="L478" s="16" t="str">
        <f>IF(G478&lt;&gt;"",IF(G478&lt;Lists!$L$11,"Early","On Time"),"")</f>
        <v/>
      </c>
      <c r="M478" s="9" t="str">
        <f t="shared" si="15"/>
        <v/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45" x14ac:dyDescent="0.3">
      <c r="A479" s="18"/>
      <c r="B479" s="9"/>
      <c r="C479" s="9" t="str">
        <f>IFERROR(INDEX('Employee Master'!$B$10:$B$109,MATCH(B479,'Employee Master'!$A$10:$A$109,0)),"")</f>
        <v/>
      </c>
      <c r="D479" s="9" t="str">
        <f>IFERROR(INDEX('Employee Master'!$H$10:$H$109,MATCH(B479,'Employee Master'!$A$10:$A$109,0)),"")</f>
        <v/>
      </c>
      <c r="E479" s="16"/>
      <c r="F479" s="19"/>
      <c r="G479" s="19"/>
      <c r="H479" s="16">
        <v>0</v>
      </c>
      <c r="I479" s="9"/>
      <c r="J479" s="16" t="str">
        <f t="shared" si="14"/>
        <v/>
      </c>
      <c r="K479" s="16" t="str">
        <f>IF(F479&lt;&gt;"",IF(F479&gt;Lists!$L$10,"Late","On Time"),"")</f>
        <v/>
      </c>
      <c r="L479" s="16" t="str">
        <f>IF(G479&lt;&gt;"",IF(G479&lt;Lists!$L$11,"Early","On Time"),"")</f>
        <v/>
      </c>
      <c r="M479" s="9" t="str">
        <f t="shared" si="15"/>
        <v/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45" x14ac:dyDescent="0.3">
      <c r="A480" s="18"/>
      <c r="B480" s="9"/>
      <c r="C480" s="9" t="str">
        <f>IFERROR(INDEX('Employee Master'!$B$10:$B$109,MATCH(B480,'Employee Master'!$A$10:$A$109,0)),"")</f>
        <v/>
      </c>
      <c r="D480" s="9" t="str">
        <f>IFERROR(INDEX('Employee Master'!$H$10:$H$109,MATCH(B480,'Employee Master'!$A$10:$A$109,0)),"")</f>
        <v/>
      </c>
      <c r="E480" s="16"/>
      <c r="F480" s="19"/>
      <c r="G480" s="19"/>
      <c r="H480" s="16">
        <v>0</v>
      </c>
      <c r="I480" s="9"/>
      <c r="J480" s="16" t="str">
        <f t="shared" si="14"/>
        <v/>
      </c>
      <c r="K480" s="16" t="str">
        <f>IF(F480&lt;&gt;"",IF(F480&gt;Lists!$L$10,"Late","On Time"),"")</f>
        <v/>
      </c>
      <c r="L480" s="16" t="str">
        <f>IF(G480&lt;&gt;"",IF(G480&lt;Lists!$L$11,"Early","On Time"),"")</f>
        <v/>
      </c>
      <c r="M480" s="9" t="str">
        <f t="shared" si="15"/>
        <v/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45" x14ac:dyDescent="0.3">
      <c r="A481" s="18"/>
      <c r="B481" s="9"/>
      <c r="C481" s="9" t="str">
        <f>IFERROR(INDEX('Employee Master'!$B$10:$B$109,MATCH(B481,'Employee Master'!$A$10:$A$109,0)),"")</f>
        <v/>
      </c>
      <c r="D481" s="9" t="str">
        <f>IFERROR(INDEX('Employee Master'!$H$10:$H$109,MATCH(B481,'Employee Master'!$A$10:$A$109,0)),"")</f>
        <v/>
      </c>
      <c r="E481" s="16"/>
      <c r="F481" s="19"/>
      <c r="G481" s="19"/>
      <c r="H481" s="16">
        <v>0</v>
      </c>
      <c r="I481" s="9"/>
      <c r="J481" s="16" t="str">
        <f t="shared" si="14"/>
        <v/>
      </c>
      <c r="K481" s="16" t="str">
        <f>IF(F481&lt;&gt;"",IF(F481&gt;Lists!$L$10,"Late","On Time"),"")</f>
        <v/>
      </c>
      <c r="L481" s="16" t="str">
        <f>IF(G481&lt;&gt;"",IF(G481&lt;Lists!$L$11,"Early","On Time"),"")</f>
        <v/>
      </c>
      <c r="M481" s="9" t="str">
        <f t="shared" si="15"/>
        <v/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45" x14ac:dyDescent="0.3">
      <c r="A482" s="18"/>
      <c r="B482" s="9"/>
      <c r="C482" s="9" t="str">
        <f>IFERROR(INDEX('Employee Master'!$B$10:$B$109,MATCH(B482,'Employee Master'!$A$10:$A$109,0)),"")</f>
        <v/>
      </c>
      <c r="D482" s="9" t="str">
        <f>IFERROR(INDEX('Employee Master'!$H$10:$H$109,MATCH(B482,'Employee Master'!$A$10:$A$109,0)),"")</f>
        <v/>
      </c>
      <c r="E482" s="16"/>
      <c r="F482" s="19"/>
      <c r="G482" s="19"/>
      <c r="H482" s="16">
        <v>0</v>
      </c>
      <c r="I482" s="9"/>
      <c r="J482" s="16" t="str">
        <f t="shared" si="14"/>
        <v/>
      </c>
      <c r="K482" s="16" t="str">
        <f>IF(F482&lt;&gt;"",IF(F482&gt;Lists!$L$10,"Late","On Time"),"")</f>
        <v/>
      </c>
      <c r="L482" s="16" t="str">
        <f>IF(G482&lt;&gt;"",IF(G482&lt;Lists!$L$11,"Early","On Time"),"")</f>
        <v/>
      </c>
      <c r="M482" s="9" t="str">
        <f t="shared" si="15"/>
        <v/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45" x14ac:dyDescent="0.3">
      <c r="A483" s="18"/>
      <c r="B483" s="9"/>
      <c r="C483" s="9" t="str">
        <f>IFERROR(INDEX('Employee Master'!$B$10:$B$109,MATCH(B483,'Employee Master'!$A$10:$A$109,0)),"")</f>
        <v/>
      </c>
      <c r="D483" s="9" t="str">
        <f>IFERROR(INDEX('Employee Master'!$H$10:$H$109,MATCH(B483,'Employee Master'!$A$10:$A$109,0)),"")</f>
        <v/>
      </c>
      <c r="E483" s="16"/>
      <c r="F483" s="19"/>
      <c r="G483" s="19"/>
      <c r="H483" s="16">
        <v>0</v>
      </c>
      <c r="I483" s="9"/>
      <c r="J483" s="16" t="str">
        <f t="shared" si="14"/>
        <v/>
      </c>
      <c r="K483" s="16" t="str">
        <f>IF(F483&lt;&gt;"",IF(F483&gt;Lists!$L$10,"Late","On Time"),"")</f>
        <v/>
      </c>
      <c r="L483" s="16" t="str">
        <f>IF(G483&lt;&gt;"",IF(G483&lt;Lists!$L$11,"Early","On Time"),"")</f>
        <v/>
      </c>
      <c r="M483" s="9" t="str">
        <f t="shared" si="15"/>
        <v/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45" x14ac:dyDescent="0.3">
      <c r="A484" s="18"/>
      <c r="B484" s="9"/>
      <c r="C484" s="9" t="str">
        <f>IFERROR(INDEX('Employee Master'!$B$10:$B$109,MATCH(B484,'Employee Master'!$A$10:$A$109,0)),"")</f>
        <v/>
      </c>
      <c r="D484" s="9" t="str">
        <f>IFERROR(INDEX('Employee Master'!$H$10:$H$109,MATCH(B484,'Employee Master'!$A$10:$A$109,0)),"")</f>
        <v/>
      </c>
      <c r="E484" s="16"/>
      <c r="F484" s="19"/>
      <c r="G484" s="19"/>
      <c r="H484" s="16">
        <v>0</v>
      </c>
      <c r="I484" s="9"/>
      <c r="J484" s="16" t="str">
        <f t="shared" si="14"/>
        <v/>
      </c>
      <c r="K484" s="16" t="str">
        <f>IF(F484&lt;&gt;"",IF(F484&gt;Lists!$L$10,"Late","On Time"),"")</f>
        <v/>
      </c>
      <c r="L484" s="16" t="str">
        <f>IF(G484&lt;&gt;"",IF(G484&lt;Lists!$L$11,"Early","On Time"),"")</f>
        <v/>
      </c>
      <c r="M484" s="9" t="str">
        <f t="shared" si="15"/>
        <v/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45" x14ac:dyDescent="0.3">
      <c r="A485" s="18"/>
      <c r="B485" s="9"/>
      <c r="C485" s="9" t="str">
        <f>IFERROR(INDEX('Employee Master'!$B$10:$B$109,MATCH(B485,'Employee Master'!$A$10:$A$109,0)),"")</f>
        <v/>
      </c>
      <c r="D485" s="9" t="str">
        <f>IFERROR(INDEX('Employee Master'!$H$10:$H$109,MATCH(B485,'Employee Master'!$A$10:$A$109,0)),"")</f>
        <v/>
      </c>
      <c r="E485" s="16"/>
      <c r="F485" s="19"/>
      <c r="G485" s="19"/>
      <c r="H485" s="16">
        <v>0</v>
      </c>
      <c r="I485" s="9"/>
      <c r="J485" s="16" t="str">
        <f t="shared" si="14"/>
        <v/>
      </c>
      <c r="K485" s="16" t="str">
        <f>IF(F485&lt;&gt;"",IF(F485&gt;Lists!$L$10,"Late","On Time"),"")</f>
        <v/>
      </c>
      <c r="L485" s="16" t="str">
        <f>IF(G485&lt;&gt;"",IF(G485&lt;Lists!$L$11,"Early","On Time"),"")</f>
        <v/>
      </c>
      <c r="M485" s="9" t="str">
        <f t="shared" si="15"/>
        <v/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45" x14ac:dyDescent="0.3">
      <c r="A486" s="18"/>
      <c r="B486" s="9"/>
      <c r="C486" s="9" t="str">
        <f>IFERROR(INDEX('Employee Master'!$B$10:$B$109,MATCH(B486,'Employee Master'!$A$10:$A$109,0)),"")</f>
        <v/>
      </c>
      <c r="D486" s="9" t="str">
        <f>IFERROR(INDEX('Employee Master'!$H$10:$H$109,MATCH(B486,'Employee Master'!$A$10:$A$109,0)),"")</f>
        <v/>
      </c>
      <c r="E486" s="16"/>
      <c r="F486" s="19"/>
      <c r="G486" s="19"/>
      <c r="H486" s="16">
        <v>0</v>
      </c>
      <c r="I486" s="9"/>
      <c r="J486" s="16" t="str">
        <f t="shared" si="14"/>
        <v/>
      </c>
      <c r="K486" s="16" t="str">
        <f>IF(F486&lt;&gt;"",IF(F486&gt;Lists!$L$10,"Late","On Time"),"")</f>
        <v/>
      </c>
      <c r="L486" s="16" t="str">
        <f>IF(G486&lt;&gt;"",IF(G486&lt;Lists!$L$11,"Early","On Time"),"")</f>
        <v/>
      </c>
      <c r="M486" s="9" t="str">
        <f t="shared" si="15"/>
        <v/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45" x14ac:dyDescent="0.3">
      <c r="A487" s="18"/>
      <c r="B487" s="9"/>
      <c r="C487" s="9" t="str">
        <f>IFERROR(INDEX('Employee Master'!$B$10:$B$109,MATCH(B487,'Employee Master'!$A$10:$A$109,0)),"")</f>
        <v/>
      </c>
      <c r="D487" s="9" t="str">
        <f>IFERROR(INDEX('Employee Master'!$H$10:$H$109,MATCH(B487,'Employee Master'!$A$10:$A$109,0)),"")</f>
        <v/>
      </c>
      <c r="E487" s="16"/>
      <c r="F487" s="19"/>
      <c r="G487" s="19"/>
      <c r="H487" s="16">
        <v>0</v>
      </c>
      <c r="I487" s="9"/>
      <c r="J487" s="16" t="str">
        <f t="shared" si="14"/>
        <v/>
      </c>
      <c r="K487" s="16" t="str">
        <f>IF(F487&lt;&gt;"",IF(F487&gt;Lists!$L$10,"Late","On Time"),"")</f>
        <v/>
      </c>
      <c r="L487" s="16" t="str">
        <f>IF(G487&lt;&gt;"",IF(G487&lt;Lists!$L$11,"Early","On Time"),"")</f>
        <v/>
      </c>
      <c r="M487" s="9" t="str">
        <f t="shared" si="15"/>
        <v/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45" x14ac:dyDescent="0.3">
      <c r="A488" s="18"/>
      <c r="B488" s="9"/>
      <c r="C488" s="9" t="str">
        <f>IFERROR(INDEX('Employee Master'!$B$10:$B$109,MATCH(B488,'Employee Master'!$A$10:$A$109,0)),"")</f>
        <v/>
      </c>
      <c r="D488" s="9" t="str">
        <f>IFERROR(INDEX('Employee Master'!$H$10:$H$109,MATCH(B488,'Employee Master'!$A$10:$A$109,0)),"")</f>
        <v/>
      </c>
      <c r="E488" s="16"/>
      <c r="F488" s="19"/>
      <c r="G488" s="19"/>
      <c r="H488" s="16">
        <v>0</v>
      </c>
      <c r="I488" s="9"/>
      <c r="J488" s="16" t="str">
        <f t="shared" si="14"/>
        <v/>
      </c>
      <c r="K488" s="16" t="str">
        <f>IF(F488&lt;&gt;"",IF(F488&gt;Lists!$L$10,"Late","On Time"),"")</f>
        <v/>
      </c>
      <c r="L488" s="16" t="str">
        <f>IF(G488&lt;&gt;"",IF(G488&lt;Lists!$L$11,"Early","On Time"),"")</f>
        <v/>
      </c>
      <c r="M488" s="9" t="str">
        <f t="shared" si="15"/>
        <v/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45" x14ac:dyDescent="0.3">
      <c r="A489" s="18"/>
      <c r="B489" s="9"/>
      <c r="C489" s="9" t="str">
        <f>IFERROR(INDEX('Employee Master'!$B$10:$B$109,MATCH(B489,'Employee Master'!$A$10:$A$109,0)),"")</f>
        <v/>
      </c>
      <c r="D489" s="9" t="str">
        <f>IFERROR(INDEX('Employee Master'!$H$10:$H$109,MATCH(B489,'Employee Master'!$A$10:$A$109,0)),"")</f>
        <v/>
      </c>
      <c r="E489" s="16"/>
      <c r="F489" s="19"/>
      <c r="G489" s="19"/>
      <c r="H489" s="16">
        <v>0</v>
      </c>
      <c r="I489" s="9"/>
      <c r="J489" s="16" t="str">
        <f t="shared" si="14"/>
        <v/>
      </c>
      <c r="K489" s="16" t="str">
        <f>IF(F489&lt;&gt;"",IF(F489&gt;Lists!$L$10,"Late","On Time"),"")</f>
        <v/>
      </c>
      <c r="L489" s="16" t="str">
        <f>IF(G489&lt;&gt;"",IF(G489&lt;Lists!$L$11,"Early","On Time"),"")</f>
        <v/>
      </c>
      <c r="M489" s="9" t="str">
        <f t="shared" si="15"/>
        <v/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45" x14ac:dyDescent="0.3">
      <c r="A490" s="18"/>
      <c r="B490" s="9"/>
      <c r="C490" s="9" t="str">
        <f>IFERROR(INDEX('Employee Master'!$B$10:$B$109,MATCH(B490,'Employee Master'!$A$10:$A$109,0)),"")</f>
        <v/>
      </c>
      <c r="D490" s="9" t="str">
        <f>IFERROR(INDEX('Employee Master'!$H$10:$H$109,MATCH(B490,'Employee Master'!$A$10:$A$109,0)),"")</f>
        <v/>
      </c>
      <c r="E490" s="16"/>
      <c r="F490" s="19"/>
      <c r="G490" s="19"/>
      <c r="H490" s="16">
        <v>0</v>
      </c>
      <c r="I490" s="9"/>
      <c r="J490" s="16" t="str">
        <f t="shared" si="14"/>
        <v/>
      </c>
      <c r="K490" s="16" t="str">
        <f>IF(F490&lt;&gt;"",IF(F490&gt;Lists!$L$10,"Late","On Time"),"")</f>
        <v/>
      </c>
      <c r="L490" s="16" t="str">
        <f>IF(G490&lt;&gt;"",IF(G490&lt;Lists!$L$11,"Early","On Time"),"")</f>
        <v/>
      </c>
      <c r="M490" s="9" t="str">
        <f t="shared" si="15"/>
        <v/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45" x14ac:dyDescent="0.3">
      <c r="A491" s="18"/>
      <c r="B491" s="9"/>
      <c r="C491" s="9" t="str">
        <f>IFERROR(INDEX('Employee Master'!$B$10:$B$109,MATCH(B491,'Employee Master'!$A$10:$A$109,0)),"")</f>
        <v/>
      </c>
      <c r="D491" s="9" t="str">
        <f>IFERROR(INDEX('Employee Master'!$H$10:$H$109,MATCH(B491,'Employee Master'!$A$10:$A$109,0)),"")</f>
        <v/>
      </c>
      <c r="E491" s="16"/>
      <c r="F491" s="19"/>
      <c r="G491" s="19"/>
      <c r="H491" s="16">
        <v>0</v>
      </c>
      <c r="I491" s="9"/>
      <c r="J491" s="16" t="str">
        <f t="shared" si="14"/>
        <v/>
      </c>
      <c r="K491" s="16" t="str">
        <f>IF(F491&lt;&gt;"",IF(F491&gt;Lists!$L$10,"Late","On Time"),"")</f>
        <v/>
      </c>
      <c r="L491" s="16" t="str">
        <f>IF(G491&lt;&gt;"",IF(G491&lt;Lists!$L$11,"Early","On Time"),"")</f>
        <v/>
      </c>
      <c r="M491" s="9" t="str">
        <f t="shared" si="15"/>
        <v/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45" x14ac:dyDescent="0.3">
      <c r="A492" s="18"/>
      <c r="B492" s="9"/>
      <c r="C492" s="9" t="str">
        <f>IFERROR(INDEX('Employee Master'!$B$10:$B$109,MATCH(B492,'Employee Master'!$A$10:$A$109,0)),"")</f>
        <v/>
      </c>
      <c r="D492" s="9" t="str">
        <f>IFERROR(INDEX('Employee Master'!$H$10:$H$109,MATCH(B492,'Employee Master'!$A$10:$A$109,0)),"")</f>
        <v/>
      </c>
      <c r="E492" s="16"/>
      <c r="F492" s="19"/>
      <c r="G492" s="19"/>
      <c r="H492" s="16">
        <v>0</v>
      </c>
      <c r="I492" s="9"/>
      <c r="J492" s="16" t="str">
        <f t="shared" si="14"/>
        <v/>
      </c>
      <c r="K492" s="16" t="str">
        <f>IF(F492&lt;&gt;"",IF(F492&gt;Lists!$L$10,"Late","On Time"),"")</f>
        <v/>
      </c>
      <c r="L492" s="16" t="str">
        <f>IF(G492&lt;&gt;"",IF(G492&lt;Lists!$L$11,"Early","On Time"),"")</f>
        <v/>
      </c>
      <c r="M492" s="9" t="str">
        <f t="shared" si="15"/>
        <v/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45" x14ac:dyDescent="0.3">
      <c r="A493" s="18"/>
      <c r="B493" s="9"/>
      <c r="C493" s="9" t="str">
        <f>IFERROR(INDEX('Employee Master'!$B$10:$B$109,MATCH(B493,'Employee Master'!$A$10:$A$109,0)),"")</f>
        <v/>
      </c>
      <c r="D493" s="9" t="str">
        <f>IFERROR(INDEX('Employee Master'!$H$10:$H$109,MATCH(B493,'Employee Master'!$A$10:$A$109,0)),"")</f>
        <v/>
      </c>
      <c r="E493" s="16"/>
      <c r="F493" s="19"/>
      <c r="G493" s="19"/>
      <c r="H493" s="16">
        <v>0</v>
      </c>
      <c r="I493" s="9"/>
      <c r="J493" s="16" t="str">
        <f t="shared" si="14"/>
        <v/>
      </c>
      <c r="K493" s="16" t="str">
        <f>IF(F493&lt;&gt;"",IF(F493&gt;Lists!$L$10,"Late","On Time"),"")</f>
        <v/>
      </c>
      <c r="L493" s="16" t="str">
        <f>IF(G493&lt;&gt;"",IF(G493&lt;Lists!$L$11,"Early","On Time"),"")</f>
        <v/>
      </c>
      <c r="M493" s="9" t="str">
        <f t="shared" si="15"/>
        <v/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45" x14ac:dyDescent="0.3">
      <c r="A494" s="18"/>
      <c r="B494" s="9"/>
      <c r="C494" s="9" t="str">
        <f>IFERROR(INDEX('Employee Master'!$B$10:$B$109,MATCH(B494,'Employee Master'!$A$10:$A$109,0)),"")</f>
        <v/>
      </c>
      <c r="D494" s="9" t="str">
        <f>IFERROR(INDEX('Employee Master'!$H$10:$H$109,MATCH(B494,'Employee Master'!$A$10:$A$109,0)),"")</f>
        <v/>
      </c>
      <c r="E494" s="16"/>
      <c r="F494" s="19"/>
      <c r="G494" s="19"/>
      <c r="H494" s="16">
        <v>0</v>
      </c>
      <c r="I494" s="9"/>
      <c r="J494" s="16" t="str">
        <f t="shared" si="14"/>
        <v/>
      </c>
      <c r="K494" s="16" t="str">
        <f>IF(F494&lt;&gt;"",IF(F494&gt;Lists!$L$10,"Late","On Time"),"")</f>
        <v/>
      </c>
      <c r="L494" s="16" t="str">
        <f>IF(G494&lt;&gt;"",IF(G494&lt;Lists!$L$11,"Early","On Time"),"")</f>
        <v/>
      </c>
      <c r="M494" s="9" t="str">
        <f t="shared" si="15"/>
        <v/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45" x14ac:dyDescent="0.3">
      <c r="A495" s="18"/>
      <c r="B495" s="9"/>
      <c r="C495" s="9" t="str">
        <f>IFERROR(INDEX('Employee Master'!$B$10:$B$109,MATCH(B495,'Employee Master'!$A$10:$A$109,0)),"")</f>
        <v/>
      </c>
      <c r="D495" s="9" t="str">
        <f>IFERROR(INDEX('Employee Master'!$H$10:$H$109,MATCH(B495,'Employee Master'!$A$10:$A$109,0)),"")</f>
        <v/>
      </c>
      <c r="E495" s="16"/>
      <c r="F495" s="19"/>
      <c r="G495" s="19"/>
      <c r="H495" s="16">
        <v>0</v>
      </c>
      <c r="I495" s="9"/>
      <c r="J495" s="16" t="str">
        <f t="shared" si="14"/>
        <v/>
      </c>
      <c r="K495" s="16" t="str">
        <f>IF(F495&lt;&gt;"",IF(F495&gt;Lists!$L$10,"Late","On Time"),"")</f>
        <v/>
      </c>
      <c r="L495" s="16" t="str">
        <f>IF(G495&lt;&gt;"",IF(G495&lt;Lists!$L$11,"Early","On Time"),"")</f>
        <v/>
      </c>
      <c r="M495" s="9" t="str">
        <f t="shared" si="15"/>
        <v/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45" x14ac:dyDescent="0.3">
      <c r="A496" s="18"/>
      <c r="B496" s="9"/>
      <c r="C496" s="9" t="str">
        <f>IFERROR(INDEX('Employee Master'!$B$10:$B$109,MATCH(B496,'Employee Master'!$A$10:$A$109,0)),"")</f>
        <v/>
      </c>
      <c r="D496" s="9" t="str">
        <f>IFERROR(INDEX('Employee Master'!$H$10:$H$109,MATCH(B496,'Employee Master'!$A$10:$A$109,0)),"")</f>
        <v/>
      </c>
      <c r="E496" s="16"/>
      <c r="F496" s="19"/>
      <c r="G496" s="19"/>
      <c r="H496" s="16">
        <v>0</v>
      </c>
      <c r="I496" s="9"/>
      <c r="J496" s="16" t="str">
        <f t="shared" si="14"/>
        <v/>
      </c>
      <c r="K496" s="16" t="str">
        <f>IF(F496&lt;&gt;"",IF(F496&gt;Lists!$L$10,"Late","On Time"),"")</f>
        <v/>
      </c>
      <c r="L496" s="16" t="str">
        <f>IF(G496&lt;&gt;"",IF(G496&lt;Lists!$L$11,"Early","On Time"),"")</f>
        <v/>
      </c>
      <c r="M496" s="9" t="str">
        <f t="shared" si="15"/>
        <v/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45" x14ac:dyDescent="0.3">
      <c r="A497" s="18"/>
      <c r="B497" s="9"/>
      <c r="C497" s="9" t="str">
        <f>IFERROR(INDEX('Employee Master'!$B$10:$B$109,MATCH(B497,'Employee Master'!$A$10:$A$109,0)),"")</f>
        <v/>
      </c>
      <c r="D497" s="9" t="str">
        <f>IFERROR(INDEX('Employee Master'!$H$10:$H$109,MATCH(B497,'Employee Master'!$A$10:$A$109,0)),"")</f>
        <v/>
      </c>
      <c r="E497" s="16"/>
      <c r="F497" s="19"/>
      <c r="G497" s="19"/>
      <c r="H497" s="16">
        <v>0</v>
      </c>
      <c r="I497" s="9"/>
      <c r="J497" s="16" t="str">
        <f t="shared" si="14"/>
        <v/>
      </c>
      <c r="K497" s="16" t="str">
        <f>IF(F497&lt;&gt;"",IF(F497&gt;Lists!$L$10,"Late","On Time"),"")</f>
        <v/>
      </c>
      <c r="L497" s="16" t="str">
        <f>IF(G497&lt;&gt;"",IF(G497&lt;Lists!$L$11,"Early","On Time"),"")</f>
        <v/>
      </c>
      <c r="M497" s="9" t="str">
        <f t="shared" si="15"/>
        <v/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45" x14ac:dyDescent="0.3">
      <c r="A498" s="18"/>
      <c r="B498" s="9"/>
      <c r="C498" s="9" t="str">
        <f>IFERROR(INDEX('Employee Master'!$B$10:$B$109,MATCH(B498,'Employee Master'!$A$10:$A$109,0)),"")</f>
        <v/>
      </c>
      <c r="D498" s="9" t="str">
        <f>IFERROR(INDEX('Employee Master'!$H$10:$H$109,MATCH(B498,'Employee Master'!$A$10:$A$109,0)),"")</f>
        <v/>
      </c>
      <c r="E498" s="16"/>
      <c r="F498" s="19"/>
      <c r="G498" s="19"/>
      <c r="H498" s="16">
        <v>0</v>
      </c>
      <c r="I498" s="9"/>
      <c r="J498" s="16" t="str">
        <f t="shared" si="14"/>
        <v/>
      </c>
      <c r="K498" s="16" t="str">
        <f>IF(F498&lt;&gt;"",IF(F498&gt;Lists!$L$10,"Late","On Time"),"")</f>
        <v/>
      </c>
      <c r="L498" s="16" t="str">
        <f>IF(G498&lt;&gt;"",IF(G498&lt;Lists!$L$11,"Early","On Time"),"")</f>
        <v/>
      </c>
      <c r="M498" s="9" t="str">
        <f t="shared" si="15"/>
        <v/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45" x14ac:dyDescent="0.3">
      <c r="A499" s="18"/>
      <c r="B499" s="9"/>
      <c r="C499" s="9" t="str">
        <f>IFERROR(INDEX('Employee Master'!$B$10:$B$109,MATCH(B499,'Employee Master'!$A$10:$A$109,0)),"")</f>
        <v/>
      </c>
      <c r="D499" s="9" t="str">
        <f>IFERROR(INDEX('Employee Master'!$H$10:$H$109,MATCH(B499,'Employee Master'!$A$10:$A$109,0)),"")</f>
        <v/>
      </c>
      <c r="E499" s="16"/>
      <c r="F499" s="19"/>
      <c r="G499" s="19"/>
      <c r="H499" s="16">
        <v>0</v>
      </c>
      <c r="I499" s="9"/>
      <c r="J499" s="16" t="str">
        <f t="shared" si="14"/>
        <v/>
      </c>
      <c r="K499" s="16" t="str">
        <f>IF(F499&lt;&gt;"",IF(F499&gt;Lists!$L$10,"Late","On Time"),"")</f>
        <v/>
      </c>
      <c r="L499" s="16" t="str">
        <f>IF(G499&lt;&gt;"",IF(G499&lt;Lists!$L$11,"Early","On Time"),"")</f>
        <v/>
      </c>
      <c r="M499" s="9" t="str">
        <f t="shared" si="15"/>
        <v/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45" x14ac:dyDescent="0.3">
      <c r="A500" s="18"/>
      <c r="B500" s="9"/>
      <c r="C500" s="9" t="str">
        <f>IFERROR(INDEX('Employee Master'!$B$10:$B$109,MATCH(B500,'Employee Master'!$A$10:$A$109,0)),"")</f>
        <v/>
      </c>
      <c r="D500" s="9" t="str">
        <f>IFERROR(INDEX('Employee Master'!$H$10:$H$109,MATCH(B500,'Employee Master'!$A$10:$A$109,0)),"")</f>
        <v/>
      </c>
      <c r="E500" s="16"/>
      <c r="F500" s="19"/>
      <c r="G500" s="19"/>
      <c r="H500" s="16">
        <v>0</v>
      </c>
      <c r="I500" s="9"/>
      <c r="J500" s="16" t="str">
        <f t="shared" si="14"/>
        <v/>
      </c>
      <c r="K500" s="16" t="str">
        <f>IF(F500&lt;&gt;"",IF(F500&gt;Lists!$L$10,"Late","On Time"),"")</f>
        <v/>
      </c>
      <c r="L500" s="16" t="str">
        <f>IF(G500&lt;&gt;"",IF(G500&lt;Lists!$L$11,"Early","On Time"),"")</f>
        <v/>
      </c>
      <c r="M500" s="9" t="str">
        <f t="shared" si="15"/>
        <v/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45" x14ac:dyDescent="0.3">
      <c r="A501" s="18"/>
      <c r="B501" s="9"/>
      <c r="C501" s="9" t="str">
        <f>IFERROR(INDEX('Employee Master'!$B$10:$B$109,MATCH(B501,'Employee Master'!$A$10:$A$109,0)),"")</f>
        <v/>
      </c>
      <c r="D501" s="9" t="str">
        <f>IFERROR(INDEX('Employee Master'!$H$10:$H$109,MATCH(B501,'Employee Master'!$A$10:$A$109,0)),"")</f>
        <v/>
      </c>
      <c r="E501" s="16"/>
      <c r="F501" s="19"/>
      <c r="G501" s="19"/>
      <c r="H501" s="16">
        <v>0</v>
      </c>
      <c r="I501" s="9"/>
      <c r="J501" s="16" t="str">
        <f t="shared" si="14"/>
        <v/>
      </c>
      <c r="K501" s="16" t="str">
        <f>IF(F501&lt;&gt;"",IF(F501&gt;Lists!$L$10,"Late","On Time"),"")</f>
        <v/>
      </c>
      <c r="L501" s="16" t="str">
        <f>IF(G501&lt;&gt;"",IF(G501&lt;Lists!$L$11,"Early","On Time"),"")</f>
        <v/>
      </c>
      <c r="M501" s="9" t="str">
        <f t="shared" si="15"/>
        <v/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45" x14ac:dyDescent="0.3">
      <c r="A502" s="18"/>
      <c r="B502" s="9"/>
      <c r="C502" s="9" t="str">
        <f>IFERROR(INDEX('Employee Master'!$B$10:$B$109,MATCH(B502,'Employee Master'!$A$10:$A$109,0)),"")</f>
        <v/>
      </c>
      <c r="D502" s="9" t="str">
        <f>IFERROR(INDEX('Employee Master'!$H$10:$H$109,MATCH(B502,'Employee Master'!$A$10:$A$109,0)),"")</f>
        <v/>
      </c>
      <c r="E502" s="16"/>
      <c r="F502" s="19"/>
      <c r="G502" s="19"/>
      <c r="H502" s="16">
        <v>0</v>
      </c>
      <c r="I502" s="9"/>
      <c r="J502" s="16" t="str">
        <f t="shared" si="14"/>
        <v/>
      </c>
      <c r="K502" s="16" t="str">
        <f>IF(F502&lt;&gt;"",IF(F502&gt;Lists!$L$10,"Late","On Time"),"")</f>
        <v/>
      </c>
      <c r="L502" s="16" t="str">
        <f>IF(G502&lt;&gt;"",IF(G502&lt;Lists!$L$11,"Early","On Time"),"")</f>
        <v/>
      </c>
      <c r="M502" s="9" t="str">
        <f t="shared" si="15"/>
        <v/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45" x14ac:dyDescent="0.3">
      <c r="A503" s="18"/>
      <c r="B503" s="9"/>
      <c r="C503" s="9" t="str">
        <f>IFERROR(INDEX('Employee Master'!$B$10:$B$109,MATCH(B503,'Employee Master'!$A$10:$A$109,0)),"")</f>
        <v/>
      </c>
      <c r="D503" s="9" t="str">
        <f>IFERROR(INDEX('Employee Master'!$H$10:$H$109,MATCH(B503,'Employee Master'!$A$10:$A$109,0)),"")</f>
        <v/>
      </c>
      <c r="E503" s="16"/>
      <c r="F503" s="19"/>
      <c r="G503" s="19"/>
      <c r="H503" s="16">
        <v>0</v>
      </c>
      <c r="I503" s="9"/>
      <c r="J503" s="16" t="str">
        <f t="shared" si="14"/>
        <v/>
      </c>
      <c r="K503" s="16" t="str">
        <f>IF(F503&lt;&gt;"",IF(F503&gt;Lists!$L$10,"Late","On Time"),"")</f>
        <v/>
      </c>
      <c r="L503" s="16" t="str">
        <f>IF(G503&lt;&gt;"",IF(G503&lt;Lists!$L$11,"Early","On Time"),"")</f>
        <v/>
      </c>
      <c r="M503" s="9" t="str">
        <f t="shared" si="15"/>
        <v/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45" x14ac:dyDescent="0.3">
      <c r="A504" s="18"/>
      <c r="B504" s="9"/>
      <c r="C504" s="9" t="str">
        <f>IFERROR(INDEX('Employee Master'!$B$10:$B$109,MATCH(B504,'Employee Master'!$A$10:$A$109,0)),"")</f>
        <v/>
      </c>
      <c r="D504" s="9" t="str">
        <f>IFERROR(INDEX('Employee Master'!$H$10:$H$109,MATCH(B504,'Employee Master'!$A$10:$A$109,0)),"")</f>
        <v/>
      </c>
      <c r="E504" s="16"/>
      <c r="F504" s="19"/>
      <c r="G504" s="19"/>
      <c r="H504" s="16">
        <v>0</v>
      </c>
      <c r="I504" s="9"/>
      <c r="J504" s="16" t="str">
        <f t="shared" si="14"/>
        <v/>
      </c>
      <c r="K504" s="16" t="str">
        <f>IF(F504&lt;&gt;"",IF(F504&gt;Lists!$L$10,"Late","On Time"),"")</f>
        <v/>
      </c>
      <c r="L504" s="16" t="str">
        <f>IF(G504&lt;&gt;"",IF(G504&lt;Lists!$L$11,"Early","On Time"),"")</f>
        <v/>
      </c>
      <c r="M504" s="9" t="str">
        <f t="shared" si="15"/>
        <v/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45" x14ac:dyDescent="0.3">
      <c r="A505" s="18"/>
      <c r="B505" s="9"/>
      <c r="C505" s="9" t="str">
        <f>IFERROR(INDEX('Employee Master'!$B$10:$B$109,MATCH(B505,'Employee Master'!$A$10:$A$109,0)),"")</f>
        <v/>
      </c>
      <c r="D505" s="9" t="str">
        <f>IFERROR(INDEX('Employee Master'!$H$10:$H$109,MATCH(B505,'Employee Master'!$A$10:$A$109,0)),"")</f>
        <v/>
      </c>
      <c r="E505" s="16"/>
      <c r="F505" s="19"/>
      <c r="G505" s="19"/>
      <c r="H505" s="16">
        <v>0</v>
      </c>
      <c r="I505" s="9"/>
      <c r="J505" s="16" t="str">
        <f t="shared" si="14"/>
        <v/>
      </c>
      <c r="K505" s="16" t="str">
        <f>IF(F505&lt;&gt;"",IF(F505&gt;Lists!$L$10,"Late","On Time"),"")</f>
        <v/>
      </c>
      <c r="L505" s="16" t="str">
        <f>IF(G505&lt;&gt;"",IF(G505&lt;Lists!$L$11,"Early","On Time"),"")</f>
        <v/>
      </c>
      <c r="M505" s="9" t="str">
        <f t="shared" si="15"/>
        <v/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45" x14ac:dyDescent="0.3">
      <c r="A506" s="18"/>
      <c r="B506" s="9"/>
      <c r="C506" s="9" t="str">
        <f>IFERROR(INDEX('Employee Master'!$B$10:$B$109,MATCH(B506,'Employee Master'!$A$10:$A$109,0)),"")</f>
        <v/>
      </c>
      <c r="D506" s="9" t="str">
        <f>IFERROR(INDEX('Employee Master'!$H$10:$H$109,MATCH(B506,'Employee Master'!$A$10:$A$109,0)),"")</f>
        <v/>
      </c>
      <c r="E506" s="16"/>
      <c r="F506" s="19"/>
      <c r="G506" s="19"/>
      <c r="H506" s="16">
        <v>0</v>
      </c>
      <c r="I506" s="9"/>
      <c r="J506" s="16" t="str">
        <f t="shared" si="14"/>
        <v/>
      </c>
      <c r="K506" s="16" t="str">
        <f>IF(F506&lt;&gt;"",IF(F506&gt;Lists!$L$10,"Late","On Time"),"")</f>
        <v/>
      </c>
      <c r="L506" s="16" t="str">
        <f>IF(G506&lt;&gt;"",IF(G506&lt;Lists!$L$11,"Early","On Time"),"")</f>
        <v/>
      </c>
      <c r="M506" s="9" t="str">
        <f t="shared" si="15"/>
        <v/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45" x14ac:dyDescent="0.3">
      <c r="A507" s="18"/>
      <c r="B507" s="9"/>
      <c r="C507" s="9" t="str">
        <f>IFERROR(INDEX('Employee Master'!$B$10:$B$109,MATCH(B507,'Employee Master'!$A$10:$A$109,0)),"")</f>
        <v/>
      </c>
      <c r="D507" s="9" t="str">
        <f>IFERROR(INDEX('Employee Master'!$H$10:$H$109,MATCH(B507,'Employee Master'!$A$10:$A$109,0)),"")</f>
        <v/>
      </c>
      <c r="E507" s="16"/>
      <c r="F507" s="19"/>
      <c r="G507" s="19"/>
      <c r="H507" s="16">
        <v>0</v>
      </c>
      <c r="I507" s="9"/>
      <c r="J507" s="16" t="str">
        <f t="shared" si="14"/>
        <v/>
      </c>
      <c r="K507" s="16" t="str">
        <f>IF(F507&lt;&gt;"",IF(F507&gt;Lists!$L$10,"Late","On Time"),"")</f>
        <v/>
      </c>
      <c r="L507" s="16" t="str">
        <f>IF(G507&lt;&gt;"",IF(G507&lt;Lists!$L$11,"Early","On Time"),"")</f>
        <v/>
      </c>
      <c r="M507" s="9" t="str">
        <f t="shared" si="15"/>
        <v/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45" x14ac:dyDescent="0.3">
      <c r="A508" s="18"/>
      <c r="B508" s="9"/>
      <c r="C508" s="9" t="str">
        <f>IFERROR(INDEX('Employee Master'!$B$10:$B$109,MATCH(B508,'Employee Master'!$A$10:$A$109,0)),"")</f>
        <v/>
      </c>
      <c r="D508" s="9" t="str">
        <f>IFERROR(INDEX('Employee Master'!$H$10:$H$109,MATCH(B508,'Employee Master'!$A$10:$A$109,0)),"")</f>
        <v/>
      </c>
      <c r="E508" s="16"/>
      <c r="F508" s="19"/>
      <c r="G508" s="19"/>
      <c r="H508" s="16">
        <v>0</v>
      </c>
      <c r="I508" s="9"/>
      <c r="J508" s="16" t="str">
        <f t="shared" si="14"/>
        <v/>
      </c>
      <c r="K508" s="16" t="str">
        <f>IF(F508&lt;&gt;"",IF(F508&gt;Lists!$L$10,"Late","On Time"),"")</f>
        <v/>
      </c>
      <c r="L508" s="16" t="str">
        <f>IF(G508&lt;&gt;"",IF(G508&lt;Lists!$L$11,"Early","On Time"),"")</f>
        <v/>
      </c>
      <c r="M508" s="9" t="str">
        <f t="shared" si="15"/>
        <v/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45" x14ac:dyDescent="0.3">
      <c r="A509" s="18"/>
      <c r="B509" s="9"/>
      <c r="C509" s="9" t="str">
        <f>IFERROR(INDEX('Employee Master'!$B$10:$B$109,MATCH(B509,'Employee Master'!$A$10:$A$109,0)),"")</f>
        <v/>
      </c>
      <c r="D509" s="9" t="str">
        <f>IFERROR(INDEX('Employee Master'!$H$10:$H$109,MATCH(B509,'Employee Master'!$A$10:$A$109,0)),"")</f>
        <v/>
      </c>
      <c r="E509" s="16"/>
      <c r="F509" s="19"/>
      <c r="G509" s="19"/>
      <c r="H509" s="16">
        <v>0</v>
      </c>
      <c r="I509" s="9"/>
      <c r="J509" s="16" t="str">
        <f t="shared" si="14"/>
        <v/>
      </c>
      <c r="K509" s="16" t="str">
        <f>IF(F509&lt;&gt;"",IF(F509&gt;Lists!$L$10,"Late","On Time"),"")</f>
        <v/>
      </c>
      <c r="L509" s="16" t="str">
        <f>IF(G509&lt;&gt;"",IF(G509&lt;Lists!$L$11,"Early","On Time"),"")</f>
        <v/>
      </c>
      <c r="M509" s="9" t="str">
        <f t="shared" si="15"/>
        <v/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</sheetData>
  <mergeCells count="14">
    <mergeCell ref="A1:M1"/>
    <mergeCell ref="A2:M2"/>
    <mergeCell ref="E5:G5"/>
    <mergeCell ref="L6:M6"/>
    <mergeCell ref="L7:M7"/>
    <mergeCell ref="E6:G6"/>
    <mergeCell ref="B5:C5"/>
    <mergeCell ref="I5:J5"/>
    <mergeCell ref="L5:M5"/>
    <mergeCell ref="E7:G7"/>
    <mergeCell ref="B6:C6"/>
    <mergeCell ref="B7:C7"/>
    <mergeCell ref="I6:J6"/>
    <mergeCell ref="I7:J7"/>
  </mergeCells>
  <phoneticPr fontId="32" type="noConversion"/>
  <conditionalFormatting sqref="A10:M509">
    <cfRule type="expression" dxfId="33" priority="2">
      <formula>MOD(ROW(),2)=0</formula>
    </cfRule>
  </conditionalFormatting>
  <conditionalFormatting sqref="E10:E509">
    <cfRule type="cellIs" dxfId="32" priority="3" operator="equal">
      <formula>"P"</formula>
    </cfRule>
    <cfRule type="cellIs" dxfId="31" priority="4" operator="equal">
      <formula>"A"</formula>
    </cfRule>
    <cfRule type="cellIs" dxfId="30" priority="5" operator="equal">
      <formula>"WO"</formula>
    </cfRule>
    <cfRule type="cellIs" dxfId="29" priority="6" operator="equal">
      <formula>"HD"</formula>
    </cfRule>
    <cfRule type="cellIs" dxfId="28" priority="7" operator="equal">
      <formula>"AL"</formula>
    </cfRule>
    <cfRule type="cellIs" dxfId="27" priority="8" operator="equal">
      <formula>"ML"</formula>
    </cfRule>
    <cfRule type="cellIs" dxfId="26" priority="9" operator="equal">
      <formula>"LOP"</formula>
    </cfRule>
  </conditionalFormatting>
  <conditionalFormatting sqref="K10:K509">
    <cfRule type="cellIs" dxfId="25" priority="10" operator="equal">
      <formula>"Late"</formula>
    </cfRule>
  </conditionalFormatting>
  <conditionalFormatting sqref="L10:L509">
    <cfRule type="cellIs" dxfId="24" priority="11" operator="equal">
      <formula>"Early"</formula>
    </cfRule>
  </conditionalFormatting>
  <hyperlinks>
    <hyperlink ref="A3" location="'HR Command Center'!A1" display=" HOME " xr:uid="{00000000-0004-0000-0300-000000000000}"/>
    <hyperlink ref="B3" location="'Employee Master'!A1" display=" PEOPLE " xr:uid="{00000000-0004-0000-0300-000001000000}"/>
    <hyperlink ref="C3" location="'Attendance'!A1" display=" ATTEND. " xr:uid="{00000000-0004-0000-0300-000002000000}"/>
    <hyperlink ref="D3" location="'Leave Tracker'!A1" display=" LEAVE " xr:uid="{00000000-0004-0000-0300-000003000000}"/>
    <hyperlink ref="E3" location="'Payroll'!A1" display=" PAYROLL " xr:uid="{00000000-0004-0000-0300-000004000000}"/>
    <hyperlink ref="F3" location="'Document Tracker'!A1" display=" DOCS " xr:uid="{00000000-0004-0000-0300-000005000000}"/>
    <hyperlink ref="G3" location="'Compliance Center'!A1" display=" COMPLY " xr:uid="{00000000-0004-0000-0300-000006000000}"/>
    <hyperlink ref="H3" location="'Analytics &amp; Reports'!A1" display=" ANALYTICS " xr:uid="{00000000-0004-0000-0300-000007000000}"/>
    <hyperlink ref="I3" location="'Management Dashboard'!A1" display=" MGMT " xr:uid="{00000000-0004-0000-0300-000008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Lists!$E$10:$E$16</xm:f>
          </x14:formula1>
          <x14:formula2>
            <xm:f>0</xm:f>
          </x14:formula2>
          <xm:sqref>E10:E509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9"/>
  <sheetViews>
    <sheetView showGridLines="0"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H30" sqref="H30"/>
    </sheetView>
  </sheetViews>
  <sheetFormatPr defaultColWidth="8.6640625" defaultRowHeight="14.4" x14ac:dyDescent="0.3"/>
  <cols>
    <col min="1" max="1" width="11" customWidth="1"/>
    <col min="2" max="2" width="12" customWidth="1"/>
    <col min="3" max="3" width="20" customWidth="1"/>
    <col min="4" max="5" width="12" customWidth="1"/>
    <col min="6" max="6" width="11" customWidth="1"/>
    <col min="7" max="7" width="8" customWidth="1"/>
    <col min="8" max="8" width="15" customWidth="1"/>
    <col min="9" max="9" width="20" customWidth="1"/>
  </cols>
  <sheetData>
    <row r="1" spans="1:9" ht="33.75" customHeight="1" x14ac:dyDescent="0.3">
      <c r="A1" s="26" t="s">
        <v>190</v>
      </c>
      <c r="B1" s="26"/>
      <c r="C1" s="26"/>
      <c r="D1" s="26"/>
      <c r="E1" s="26"/>
      <c r="F1" s="26"/>
      <c r="G1" s="26"/>
      <c r="H1" s="26"/>
      <c r="I1" s="26"/>
    </row>
    <row r="2" spans="1:9" ht="15.75" customHeight="1" x14ac:dyDescent="0.3">
      <c r="A2" s="27" t="s">
        <v>191</v>
      </c>
      <c r="B2" s="27"/>
      <c r="C2" s="27"/>
      <c r="D2" s="27"/>
      <c r="E2" s="27"/>
      <c r="F2" s="27"/>
      <c r="G2" s="27"/>
      <c r="H2" s="27"/>
      <c r="I2" s="27"/>
    </row>
    <row r="3" spans="1:9" ht="19.5" customHeight="1" x14ac:dyDescent="0.3">
      <c r="A3" s="2" t="s">
        <v>2</v>
      </c>
      <c r="B3" s="2" t="s">
        <v>3</v>
      </c>
      <c r="C3" s="2" t="s">
        <v>4</v>
      </c>
      <c r="D3" s="1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 x14ac:dyDescent="0.3">
      <c r="A4" s="4"/>
      <c r="B4" s="4"/>
      <c r="C4" s="4"/>
      <c r="D4" s="4"/>
      <c r="E4" s="4"/>
      <c r="F4" s="4"/>
      <c r="G4" s="4"/>
      <c r="H4" s="4"/>
      <c r="I4" s="4"/>
    </row>
    <row r="5" spans="1:9" ht="13.5" customHeight="1" x14ac:dyDescent="0.3">
      <c r="A5" s="4"/>
      <c r="B5" s="28" t="s">
        <v>192</v>
      </c>
      <c r="C5" s="28"/>
      <c r="D5" s="29" t="s">
        <v>193</v>
      </c>
      <c r="E5" s="29"/>
      <c r="F5" s="45" t="s">
        <v>194</v>
      </c>
      <c r="G5" s="45"/>
      <c r="H5" s="30" t="s">
        <v>195</v>
      </c>
      <c r="I5" s="30"/>
    </row>
    <row r="6" spans="1:9" ht="25.5" customHeight="1" x14ac:dyDescent="0.3">
      <c r="A6" s="4"/>
      <c r="B6" s="32">
        <f>COUNTA($A$10:$A$209)</f>
        <v>18</v>
      </c>
      <c r="C6" s="32"/>
      <c r="D6" s="32">
        <f>COUNTIF($H$10:$H$209,"Approved")</f>
        <v>12</v>
      </c>
      <c r="E6" s="32"/>
      <c r="F6" s="32">
        <f>COUNTIF($H$10:$H$209,"Pending")</f>
        <v>4</v>
      </c>
      <c r="G6" s="32"/>
      <c r="H6" s="32">
        <f>COUNTIF($H$10:$H$209,"Rejected")</f>
        <v>2</v>
      </c>
      <c r="I6" s="32"/>
    </row>
    <row r="7" spans="1:9" ht="13.5" customHeight="1" x14ac:dyDescent="0.3">
      <c r="A7" s="4"/>
      <c r="B7" s="33"/>
      <c r="C7" s="33"/>
      <c r="D7" s="34"/>
      <c r="E7" s="34"/>
      <c r="F7" s="46"/>
      <c r="G7" s="46"/>
      <c r="H7" s="35"/>
      <c r="I7" s="35"/>
    </row>
    <row r="8" spans="1:9" x14ac:dyDescent="0.3">
      <c r="A8" s="4"/>
      <c r="B8" s="4"/>
      <c r="C8" s="4"/>
      <c r="D8" s="4"/>
      <c r="E8" s="4"/>
      <c r="F8" s="4"/>
      <c r="G8" s="4"/>
      <c r="H8" s="4"/>
      <c r="I8" s="4"/>
    </row>
    <row r="9" spans="1:9" ht="30" customHeight="1" x14ac:dyDescent="0.3">
      <c r="A9" s="15" t="s">
        <v>196</v>
      </c>
      <c r="B9" s="15" t="s">
        <v>122</v>
      </c>
      <c r="C9" s="15" t="s">
        <v>123</v>
      </c>
      <c r="D9" s="15" t="s">
        <v>197</v>
      </c>
      <c r="E9" s="15" t="s">
        <v>198</v>
      </c>
      <c r="F9" s="15" t="s">
        <v>61</v>
      </c>
      <c r="G9" s="15" t="s">
        <v>199</v>
      </c>
      <c r="H9" s="15" t="s">
        <v>200</v>
      </c>
      <c r="I9" s="15" t="s">
        <v>186</v>
      </c>
    </row>
    <row r="10" spans="1:9" x14ac:dyDescent="0.3">
      <c r="A10" s="16" t="s">
        <v>201</v>
      </c>
      <c r="B10" s="9" t="s">
        <v>287</v>
      </c>
      <c r="C10" s="9" t="str">
        <f>IFERROR(INDEX('Employee Master'!$B$10:$B$109,MATCH(B10,'Employee Master'!$A$10:$A$109,0)),"")</f>
        <v>Murugesan P</v>
      </c>
      <c r="D10" s="18">
        <v>46250</v>
      </c>
      <c r="E10" s="18">
        <v>46251</v>
      </c>
      <c r="F10" s="16" t="s">
        <v>52</v>
      </c>
      <c r="G10" s="16">
        <f t="shared" ref="G10:G41" si="0">IF(OR(D10="",E10=""),"",E10-D10+1)</f>
        <v>2</v>
      </c>
      <c r="H10" s="16" t="s">
        <v>80</v>
      </c>
      <c r="I10" s="9"/>
    </row>
    <row r="11" spans="1:9" x14ac:dyDescent="0.3">
      <c r="A11" s="16" t="s">
        <v>202</v>
      </c>
      <c r="B11" s="9" t="s">
        <v>288</v>
      </c>
      <c r="C11" s="9" t="str">
        <f>IFERROR(INDEX('Employee Master'!$B$10:$B$109,MATCH(B11,'Employee Master'!$A$10:$A$109,0)),"")</f>
        <v>Vijay K</v>
      </c>
      <c r="D11" s="18">
        <v>46241</v>
      </c>
      <c r="E11" s="18">
        <v>46245</v>
      </c>
      <c r="F11" s="16" t="s">
        <v>79</v>
      </c>
      <c r="G11" s="16">
        <f t="shared" si="0"/>
        <v>5</v>
      </c>
      <c r="H11" s="16" t="s">
        <v>80</v>
      </c>
      <c r="I11" s="9"/>
    </row>
    <row r="12" spans="1:9" x14ac:dyDescent="0.3">
      <c r="A12" s="16" t="s">
        <v>203</v>
      </c>
      <c r="B12" s="9" t="s">
        <v>289</v>
      </c>
      <c r="C12" s="9" t="str">
        <f>IFERROR(INDEX('Employee Master'!$B$10:$B$109,MATCH(B12,'Employee Master'!$A$10:$A$109,0)),"")</f>
        <v>Murugesan P</v>
      </c>
      <c r="D12" s="18">
        <v>46237</v>
      </c>
      <c r="E12" s="18">
        <v>46237</v>
      </c>
      <c r="F12" s="16" t="s">
        <v>88</v>
      </c>
      <c r="G12" s="16">
        <f t="shared" si="0"/>
        <v>1</v>
      </c>
      <c r="H12" s="16" t="s">
        <v>80</v>
      </c>
      <c r="I12" s="9"/>
    </row>
    <row r="13" spans="1:9" x14ac:dyDescent="0.3">
      <c r="A13" s="16" t="s">
        <v>204</v>
      </c>
      <c r="B13" s="9" t="s">
        <v>290</v>
      </c>
      <c r="C13" s="9" t="str">
        <f>IFERROR(INDEX('Employee Master'!$B$10:$B$109,MATCH(B13,'Employee Master'!$A$10:$A$109,0)),"")</f>
        <v>Murugesan S</v>
      </c>
      <c r="D13" s="18">
        <v>46216</v>
      </c>
      <c r="E13" s="18">
        <v>46217</v>
      </c>
      <c r="F13" s="16" t="s">
        <v>52</v>
      </c>
      <c r="G13" s="16">
        <f t="shared" si="0"/>
        <v>2</v>
      </c>
      <c r="H13" s="16" t="s">
        <v>205</v>
      </c>
      <c r="I13" s="9"/>
    </row>
    <row r="14" spans="1:9" x14ac:dyDescent="0.3">
      <c r="A14" s="16" t="s">
        <v>206</v>
      </c>
      <c r="B14" s="9" t="s">
        <v>291</v>
      </c>
      <c r="C14" s="9" t="str">
        <f>IFERROR(INDEX('Employee Master'!$B$10:$B$109,MATCH(B14,'Employee Master'!$A$10:$A$109,0)),"")</f>
        <v>Murugesan</v>
      </c>
      <c r="D14" s="18">
        <v>46229</v>
      </c>
      <c r="E14" s="18">
        <v>46229</v>
      </c>
      <c r="F14" s="16" t="s">
        <v>88</v>
      </c>
      <c r="G14" s="16">
        <f t="shared" si="0"/>
        <v>1</v>
      </c>
      <c r="H14" s="16" t="s">
        <v>205</v>
      </c>
      <c r="I14" s="9"/>
    </row>
    <row r="15" spans="1:9" x14ac:dyDescent="0.3">
      <c r="A15" s="16" t="s">
        <v>207</v>
      </c>
      <c r="B15" s="9" t="s">
        <v>292</v>
      </c>
      <c r="C15" s="9" t="str">
        <f>IFERROR(INDEX('Employee Master'!$B$10:$B$109,MATCH(B15,'Employee Master'!$A$10:$A$109,0)),"")</f>
        <v>Elango K</v>
      </c>
      <c r="D15" s="18">
        <v>46244</v>
      </c>
      <c r="E15" s="18">
        <v>46245</v>
      </c>
      <c r="F15" s="16" t="s">
        <v>88</v>
      </c>
      <c r="G15" s="16">
        <f t="shared" si="0"/>
        <v>2</v>
      </c>
      <c r="H15" s="16" t="s">
        <v>80</v>
      </c>
      <c r="I15" s="9"/>
    </row>
    <row r="16" spans="1:9" x14ac:dyDescent="0.3">
      <c r="A16" s="16" t="s">
        <v>208</v>
      </c>
      <c r="B16" s="9" t="s">
        <v>293</v>
      </c>
      <c r="C16" s="9" t="str">
        <f>IFERROR(INDEX('Employee Master'!$B$10:$B$109,MATCH(B16,'Employee Master'!$A$10:$A$109,0)),"")</f>
        <v>Murugan</v>
      </c>
      <c r="D16" s="18">
        <v>46228</v>
      </c>
      <c r="E16" s="18">
        <v>46230</v>
      </c>
      <c r="F16" s="16" t="s">
        <v>53</v>
      </c>
      <c r="G16" s="16">
        <f t="shared" si="0"/>
        <v>3</v>
      </c>
      <c r="H16" s="16" t="s">
        <v>205</v>
      </c>
      <c r="I16" s="9"/>
    </row>
    <row r="17" spans="1:9" x14ac:dyDescent="0.3">
      <c r="A17" s="16" t="s">
        <v>209</v>
      </c>
      <c r="B17" s="9" t="s">
        <v>294</v>
      </c>
      <c r="C17" s="9" t="str">
        <f>IFERROR(INDEX('Employee Master'!$B$10:$B$109,MATCH(B17,'Employee Master'!$A$10:$A$109,0)),"")</f>
        <v>Bala Murugan</v>
      </c>
      <c r="D17" s="18">
        <v>46217</v>
      </c>
      <c r="E17" s="18">
        <v>46218</v>
      </c>
      <c r="F17" s="16" t="s">
        <v>79</v>
      </c>
      <c r="G17" s="16">
        <f t="shared" si="0"/>
        <v>2</v>
      </c>
      <c r="H17" s="16" t="s">
        <v>205</v>
      </c>
      <c r="I17" s="9"/>
    </row>
    <row r="18" spans="1:9" x14ac:dyDescent="0.3">
      <c r="A18" s="16" t="s">
        <v>210</v>
      </c>
      <c r="B18" s="9" t="s">
        <v>295</v>
      </c>
      <c r="C18" s="9" t="str">
        <f>IFERROR(INDEX('Employee Master'!$B$10:$B$109,MATCH(B18,'Employee Master'!$A$10:$A$109,0)),"")</f>
        <v>Murugesan V</v>
      </c>
      <c r="D18" s="18">
        <v>46235</v>
      </c>
      <c r="E18" s="18">
        <v>46235</v>
      </c>
      <c r="F18" s="16" t="s">
        <v>70</v>
      </c>
      <c r="G18" s="16">
        <f t="shared" si="0"/>
        <v>1</v>
      </c>
      <c r="H18" s="16" t="s">
        <v>211</v>
      </c>
      <c r="I18" s="9"/>
    </row>
    <row r="19" spans="1:9" x14ac:dyDescent="0.3">
      <c r="A19" s="16" t="s">
        <v>212</v>
      </c>
      <c r="B19" s="9" t="s">
        <v>296</v>
      </c>
      <c r="C19" s="9" t="str">
        <f>IFERROR(INDEX('Employee Master'!$B$10:$B$109,MATCH(B19,'Employee Master'!$A$10:$A$109,0)),"")</f>
        <v>Elango P</v>
      </c>
      <c r="D19" s="18">
        <v>46239</v>
      </c>
      <c r="E19" s="18">
        <v>46239</v>
      </c>
      <c r="F19" s="16" t="s">
        <v>53</v>
      </c>
      <c r="G19" s="16">
        <f t="shared" si="0"/>
        <v>1</v>
      </c>
      <c r="H19" s="16" t="s">
        <v>205</v>
      </c>
      <c r="I19" s="9"/>
    </row>
    <row r="20" spans="1:9" x14ac:dyDescent="0.3">
      <c r="A20" s="16" t="s">
        <v>213</v>
      </c>
      <c r="B20" s="9" t="s">
        <v>297</v>
      </c>
      <c r="C20" s="9" t="str">
        <f>IFERROR(INDEX('Employee Master'!$B$10:$B$109,MATCH(B20,'Employee Master'!$A$10:$A$109,0)),"")</f>
        <v>Senthil Kumar K</v>
      </c>
      <c r="D20" s="18">
        <v>46219</v>
      </c>
      <c r="E20" s="18">
        <v>46223</v>
      </c>
      <c r="F20" s="16" t="s">
        <v>70</v>
      </c>
      <c r="G20" s="16">
        <f t="shared" si="0"/>
        <v>5</v>
      </c>
      <c r="H20" s="16" t="s">
        <v>205</v>
      </c>
      <c r="I20" s="9"/>
    </row>
    <row r="21" spans="1:9" x14ac:dyDescent="0.3">
      <c r="A21" s="16" t="s">
        <v>214</v>
      </c>
      <c r="B21" s="9" t="s">
        <v>298</v>
      </c>
      <c r="C21" s="9" t="str">
        <f>IFERROR(INDEX('Employee Master'!$B$10:$B$109,MATCH(B21,'Employee Master'!$A$10:$A$109,0)),"")</f>
        <v>Saravanan P</v>
      </c>
      <c r="D21" s="18">
        <v>46246</v>
      </c>
      <c r="E21" s="18">
        <v>46246</v>
      </c>
      <c r="F21" s="16" t="s">
        <v>88</v>
      </c>
      <c r="G21" s="16">
        <f t="shared" si="0"/>
        <v>1</v>
      </c>
      <c r="H21" s="16" t="s">
        <v>205</v>
      </c>
      <c r="I21" s="9"/>
    </row>
    <row r="22" spans="1:9" x14ac:dyDescent="0.3">
      <c r="A22" s="16" t="s">
        <v>215</v>
      </c>
      <c r="B22" s="9" t="s">
        <v>299</v>
      </c>
      <c r="C22" s="9" t="str">
        <f>IFERROR(INDEX('Employee Master'!$B$10:$B$109,MATCH(B22,'Employee Master'!$A$10:$A$109,0)),"")</f>
        <v>Karthik V</v>
      </c>
      <c r="D22" s="18">
        <v>46221</v>
      </c>
      <c r="E22" s="18">
        <v>46221</v>
      </c>
      <c r="F22" s="16" t="s">
        <v>53</v>
      </c>
      <c r="G22" s="16">
        <f t="shared" si="0"/>
        <v>1</v>
      </c>
      <c r="H22" s="16" t="s">
        <v>205</v>
      </c>
      <c r="I22" s="9"/>
    </row>
    <row r="23" spans="1:9" x14ac:dyDescent="0.3">
      <c r="A23" s="16" t="s">
        <v>216</v>
      </c>
      <c r="B23" s="9" t="s">
        <v>300</v>
      </c>
      <c r="C23" s="9" t="str">
        <f>IFERROR(INDEX('Employee Master'!$B$10:$B$109,MATCH(B23,'Employee Master'!$A$10:$A$109,0)),"")</f>
        <v>Senthil Kumar</v>
      </c>
      <c r="D23" s="18">
        <v>46245</v>
      </c>
      <c r="E23" s="18">
        <v>46245</v>
      </c>
      <c r="F23" s="16" t="s">
        <v>52</v>
      </c>
      <c r="G23" s="16">
        <f t="shared" si="0"/>
        <v>1</v>
      </c>
      <c r="H23" s="16" t="s">
        <v>205</v>
      </c>
      <c r="I23" s="9"/>
    </row>
    <row r="24" spans="1:9" x14ac:dyDescent="0.3">
      <c r="A24" s="16" t="s">
        <v>217</v>
      </c>
      <c r="B24" s="9" t="s">
        <v>301</v>
      </c>
      <c r="C24" s="9" t="str">
        <f>IFERROR(INDEX('Employee Master'!$B$10:$B$109,MATCH(B24,'Employee Master'!$A$10:$A$109,0)),"")</f>
        <v>Gopinath P</v>
      </c>
      <c r="D24" s="18">
        <v>46250</v>
      </c>
      <c r="E24" s="18">
        <v>46250</v>
      </c>
      <c r="F24" s="16" t="s">
        <v>52</v>
      </c>
      <c r="G24" s="16">
        <f t="shared" si="0"/>
        <v>1</v>
      </c>
      <c r="H24" s="16" t="s">
        <v>211</v>
      </c>
      <c r="I24" s="9"/>
    </row>
    <row r="25" spans="1:9" x14ac:dyDescent="0.3">
      <c r="A25" s="16" t="s">
        <v>218</v>
      </c>
      <c r="B25" s="9" t="s">
        <v>302</v>
      </c>
      <c r="C25" s="9" t="str">
        <f>IFERROR(INDEX('Employee Master'!$B$10:$B$109,MATCH(B25,'Employee Master'!$A$10:$A$109,0)),"")</f>
        <v>Muthu Raj</v>
      </c>
      <c r="D25" s="18">
        <v>46249</v>
      </c>
      <c r="E25" s="18">
        <v>46253</v>
      </c>
      <c r="F25" s="16" t="s">
        <v>53</v>
      </c>
      <c r="G25" s="16">
        <f t="shared" si="0"/>
        <v>5</v>
      </c>
      <c r="H25" s="16" t="s">
        <v>205</v>
      </c>
      <c r="I25" s="9"/>
    </row>
    <row r="26" spans="1:9" x14ac:dyDescent="0.3">
      <c r="A26" s="16" t="s">
        <v>219</v>
      </c>
      <c r="B26" s="9" t="s">
        <v>303</v>
      </c>
      <c r="C26" s="9" t="str">
        <f>IFERROR(INDEX('Employee Master'!$B$10:$B$109,MATCH(B26,'Employee Master'!$A$10:$A$109,0)),"")</f>
        <v>Senthil Kumar S</v>
      </c>
      <c r="D26" s="18">
        <v>46217</v>
      </c>
      <c r="E26" s="18">
        <v>46221</v>
      </c>
      <c r="F26" s="16" t="s">
        <v>88</v>
      </c>
      <c r="G26" s="16">
        <f t="shared" si="0"/>
        <v>5</v>
      </c>
      <c r="H26" s="16" t="s">
        <v>205</v>
      </c>
      <c r="I26" s="9"/>
    </row>
    <row r="27" spans="1:9" x14ac:dyDescent="0.3">
      <c r="A27" s="16" t="s">
        <v>220</v>
      </c>
      <c r="B27" s="9" t="s">
        <v>304</v>
      </c>
      <c r="C27" s="9" t="str">
        <f>IFERROR(INDEX('Employee Master'!$B$10:$B$109,MATCH(B27,'Employee Master'!$A$10:$A$109,0)),"")</f>
        <v>Sowmya V</v>
      </c>
      <c r="D27" s="18">
        <v>46228</v>
      </c>
      <c r="E27" s="18">
        <v>46228</v>
      </c>
      <c r="F27" s="16" t="s">
        <v>53</v>
      </c>
      <c r="G27" s="16">
        <f t="shared" si="0"/>
        <v>1</v>
      </c>
      <c r="H27" s="16" t="s">
        <v>205</v>
      </c>
      <c r="I27" s="9"/>
    </row>
    <row r="28" spans="1:9" x14ac:dyDescent="0.3">
      <c r="A28" s="16"/>
      <c r="B28" s="9" t="s">
        <v>305</v>
      </c>
      <c r="C28" s="9" t="str">
        <f>IFERROR(INDEX('Employee Master'!$B$10:$B$109,MATCH(B28,'Employee Master'!$A$10:$A$109,0)),"")</f>
        <v>Nandhini</v>
      </c>
      <c r="D28" s="18"/>
      <c r="E28" s="18"/>
      <c r="F28" s="16"/>
      <c r="G28" s="16" t="str">
        <f t="shared" si="0"/>
        <v/>
      </c>
      <c r="H28" s="16"/>
      <c r="I28" s="9"/>
    </row>
    <row r="29" spans="1:9" x14ac:dyDescent="0.3">
      <c r="A29" s="16"/>
      <c r="B29" s="9" t="s">
        <v>306</v>
      </c>
      <c r="C29" s="9" t="str">
        <f>IFERROR(INDEX('Employee Master'!$B$10:$B$109,MATCH(B29,'Employee Master'!$A$10:$A$109,0)),"")</f>
        <v>Divya</v>
      </c>
      <c r="D29" s="18"/>
      <c r="E29" s="18"/>
      <c r="F29" s="16"/>
      <c r="G29" s="16" t="str">
        <f t="shared" si="0"/>
        <v/>
      </c>
      <c r="H29" s="16"/>
      <c r="I29" s="9"/>
    </row>
    <row r="30" spans="1:9" x14ac:dyDescent="0.3">
      <c r="A30" s="16"/>
      <c r="B30" s="9" t="s">
        <v>307</v>
      </c>
      <c r="C30" s="9" t="str">
        <f>IFERROR(INDEX('Employee Master'!$B$10:$B$109,MATCH(B30,'Employee Master'!$A$10:$A$109,0)),"")</f>
        <v>Divya K</v>
      </c>
      <c r="D30" s="18"/>
      <c r="E30" s="18"/>
      <c r="F30" s="16"/>
      <c r="G30" s="16" t="str">
        <f t="shared" si="0"/>
        <v/>
      </c>
      <c r="H30" s="16"/>
      <c r="I30" s="9"/>
    </row>
    <row r="31" spans="1:9" x14ac:dyDescent="0.3">
      <c r="A31" s="16"/>
      <c r="B31" s="9" t="s">
        <v>308</v>
      </c>
      <c r="C31" s="9" t="str">
        <f>IFERROR(INDEX('Employee Master'!$B$10:$B$109,MATCH(B31,'Employee Master'!$A$10:$A$109,0)),"")</f>
        <v>Karthik S</v>
      </c>
      <c r="D31" s="18"/>
      <c r="E31" s="18"/>
      <c r="F31" s="16"/>
      <c r="G31" s="16" t="str">
        <f t="shared" si="0"/>
        <v/>
      </c>
      <c r="H31" s="16"/>
      <c r="I31" s="9"/>
    </row>
    <row r="32" spans="1:9" x14ac:dyDescent="0.3">
      <c r="A32" s="16"/>
      <c r="B32" s="9" t="s">
        <v>309</v>
      </c>
      <c r="C32" s="9" t="str">
        <f>IFERROR(INDEX('Employee Master'!$B$10:$B$109,MATCH(B32,'Employee Master'!$A$10:$A$109,0)),"")</f>
        <v>Dinesh</v>
      </c>
      <c r="D32" s="18"/>
      <c r="E32" s="18"/>
      <c r="F32" s="16"/>
      <c r="G32" s="16" t="str">
        <f t="shared" si="0"/>
        <v/>
      </c>
      <c r="H32" s="16"/>
      <c r="I32" s="9"/>
    </row>
    <row r="33" spans="1:9" x14ac:dyDescent="0.3">
      <c r="A33" s="16"/>
      <c r="B33" s="9" t="s">
        <v>310</v>
      </c>
      <c r="C33" s="9" t="str">
        <f>IFERROR(INDEX('Employee Master'!$B$10:$B$109,MATCH(B33,'Employee Master'!$A$10:$A$109,0)),"")</f>
        <v>Kumaresan M</v>
      </c>
      <c r="D33" s="18"/>
      <c r="E33" s="18"/>
      <c r="F33" s="16"/>
      <c r="G33" s="16" t="str">
        <f t="shared" si="0"/>
        <v/>
      </c>
      <c r="H33" s="16"/>
      <c r="I33" s="9"/>
    </row>
    <row r="34" spans="1:9" x14ac:dyDescent="0.3">
      <c r="A34" s="16"/>
      <c r="B34" s="9" t="s">
        <v>311</v>
      </c>
      <c r="C34" s="9" t="str">
        <f>IFERROR(INDEX('Employee Master'!$B$10:$B$109,MATCH(B34,'Employee Master'!$A$10:$A$109,0)),"")</f>
        <v>Vijay P</v>
      </c>
      <c r="D34" s="18"/>
      <c r="E34" s="18"/>
      <c r="F34" s="16"/>
      <c r="G34" s="16" t="str">
        <f t="shared" si="0"/>
        <v/>
      </c>
      <c r="H34" s="16"/>
      <c r="I34" s="9"/>
    </row>
    <row r="35" spans="1:9" x14ac:dyDescent="0.3">
      <c r="A35" s="16"/>
      <c r="B35" s="9" t="s">
        <v>312</v>
      </c>
      <c r="C35" s="9" t="str">
        <f>IFERROR(INDEX('Employee Master'!$B$10:$B$109,MATCH(B35,'Employee Master'!$A$10:$A$109,0)),"")</f>
        <v>Divya R</v>
      </c>
      <c r="D35" s="18"/>
      <c r="E35" s="18"/>
      <c r="F35" s="16"/>
      <c r="G35" s="16" t="str">
        <f t="shared" si="0"/>
        <v/>
      </c>
      <c r="H35" s="16"/>
      <c r="I35" s="9"/>
    </row>
    <row r="36" spans="1:9" x14ac:dyDescent="0.3">
      <c r="A36" s="16"/>
      <c r="B36" s="9" t="s">
        <v>313</v>
      </c>
      <c r="C36" s="9" t="str">
        <f>IFERROR(INDEX('Employee Master'!$B$10:$B$109,MATCH(B36,'Employee Master'!$A$10:$A$109,0)),"")</f>
        <v>Selvam R</v>
      </c>
      <c r="D36" s="18"/>
      <c r="E36" s="18"/>
      <c r="F36" s="16"/>
      <c r="G36" s="16" t="str">
        <f t="shared" si="0"/>
        <v/>
      </c>
      <c r="H36" s="16"/>
      <c r="I36" s="9"/>
    </row>
    <row r="37" spans="1:9" x14ac:dyDescent="0.3">
      <c r="A37" s="16"/>
      <c r="B37" s="9" t="s">
        <v>314</v>
      </c>
      <c r="C37" s="9" t="str">
        <f>IFERROR(INDEX('Employee Master'!$B$10:$B$109,MATCH(B37,'Employee Master'!$A$10:$A$109,0)),"")</f>
        <v>Saravanan</v>
      </c>
      <c r="D37" s="18"/>
      <c r="E37" s="18"/>
      <c r="F37" s="16"/>
      <c r="G37" s="16" t="str">
        <f t="shared" si="0"/>
        <v/>
      </c>
      <c r="H37" s="16"/>
      <c r="I37" s="9"/>
    </row>
    <row r="38" spans="1:9" x14ac:dyDescent="0.3">
      <c r="A38" s="16"/>
      <c r="B38" s="9" t="s">
        <v>315</v>
      </c>
      <c r="C38" s="9" t="str">
        <f>IFERROR(INDEX('Employee Master'!$B$10:$B$109,MATCH(B38,'Employee Master'!$A$10:$A$109,0)),"")</f>
        <v>Nandhini R</v>
      </c>
      <c r="D38" s="18"/>
      <c r="E38" s="18"/>
      <c r="F38" s="16"/>
      <c r="G38" s="16" t="str">
        <f t="shared" si="0"/>
        <v/>
      </c>
      <c r="H38" s="16"/>
      <c r="I38" s="9"/>
    </row>
    <row r="39" spans="1:9" x14ac:dyDescent="0.3">
      <c r="A39" s="16"/>
      <c r="B39" s="9" t="s">
        <v>316</v>
      </c>
      <c r="C39" s="9" t="str">
        <f>IFERROR(INDEX('Employee Master'!$B$10:$B$109,MATCH(B39,'Employee Master'!$A$10:$A$109,0)),"")</f>
        <v>Kavitha R</v>
      </c>
      <c r="D39" s="18"/>
      <c r="E39" s="18"/>
      <c r="F39" s="16"/>
      <c r="G39" s="16" t="str">
        <f t="shared" si="0"/>
        <v/>
      </c>
      <c r="H39" s="16"/>
      <c r="I39" s="9"/>
    </row>
    <row r="40" spans="1:9" x14ac:dyDescent="0.3">
      <c r="A40" s="16"/>
      <c r="B40" s="9" t="s">
        <v>317</v>
      </c>
      <c r="C40" s="9" t="str">
        <f>IFERROR(INDEX('Employee Master'!$B$10:$B$109,MATCH(B40,'Employee Master'!$A$10:$A$109,0)),"")</f>
        <v>Suresh K</v>
      </c>
      <c r="D40" s="18"/>
      <c r="E40" s="18"/>
      <c r="F40" s="16"/>
      <c r="G40" s="16" t="str">
        <f t="shared" si="0"/>
        <v/>
      </c>
      <c r="H40" s="16"/>
      <c r="I40" s="9"/>
    </row>
    <row r="41" spans="1:9" x14ac:dyDescent="0.3">
      <c r="A41" s="16"/>
      <c r="B41" s="9" t="s">
        <v>318</v>
      </c>
      <c r="C41" s="9" t="str">
        <f>IFERROR(INDEX('Employee Master'!$B$10:$B$109,MATCH(B41,'Employee Master'!$A$10:$A$109,0)),"")</f>
        <v>Sathish M</v>
      </c>
      <c r="D41" s="18"/>
      <c r="E41" s="18"/>
      <c r="F41" s="16"/>
      <c r="G41" s="16" t="str">
        <f t="shared" si="0"/>
        <v/>
      </c>
      <c r="H41" s="16"/>
      <c r="I41" s="9"/>
    </row>
    <row r="42" spans="1:9" x14ac:dyDescent="0.3">
      <c r="A42" s="16"/>
      <c r="B42" s="9" t="s">
        <v>319</v>
      </c>
      <c r="C42" s="9" t="str">
        <f>IFERROR(INDEX('Employee Master'!$B$10:$B$109,MATCH(B42,'Employee Master'!$A$10:$A$109,0)),"")</f>
        <v>Selvam K</v>
      </c>
      <c r="D42" s="18"/>
      <c r="E42" s="18"/>
      <c r="F42" s="16"/>
      <c r="G42" s="16" t="str">
        <f t="shared" ref="G42:G73" si="1">IF(OR(D42="",E42=""),"",E42-D42+1)</f>
        <v/>
      </c>
      <c r="H42" s="16"/>
      <c r="I42" s="9"/>
    </row>
    <row r="43" spans="1:9" x14ac:dyDescent="0.3">
      <c r="A43" s="16"/>
      <c r="B43" s="9" t="s">
        <v>320</v>
      </c>
      <c r="C43" s="9" t="str">
        <f>IFERROR(INDEX('Employee Master'!$B$10:$B$109,MATCH(B43,'Employee Master'!$A$10:$A$109,0)),"")</f>
        <v>Revathi V</v>
      </c>
      <c r="D43" s="18"/>
      <c r="E43" s="18"/>
      <c r="F43" s="16"/>
      <c r="G43" s="16" t="str">
        <f t="shared" si="1"/>
        <v/>
      </c>
      <c r="H43" s="16"/>
      <c r="I43" s="9"/>
    </row>
    <row r="44" spans="1:9" x14ac:dyDescent="0.3">
      <c r="A44" s="16"/>
      <c r="B44" s="9" t="s">
        <v>321</v>
      </c>
      <c r="C44" s="9" t="str">
        <f>IFERROR(INDEX('Employee Master'!$B$10:$B$109,MATCH(B44,'Employee Master'!$A$10:$A$109,0)),"")</f>
        <v>Naveen M</v>
      </c>
      <c r="D44" s="18"/>
      <c r="E44" s="18"/>
      <c r="F44" s="16"/>
      <c r="G44" s="16" t="str">
        <f t="shared" si="1"/>
        <v/>
      </c>
      <c r="H44" s="16"/>
      <c r="I44" s="9"/>
    </row>
    <row r="45" spans="1:9" x14ac:dyDescent="0.3">
      <c r="A45" s="16"/>
      <c r="B45" s="9" t="s">
        <v>322</v>
      </c>
      <c r="C45" s="9" t="str">
        <f>IFERROR(INDEX('Employee Master'!$B$10:$B$109,MATCH(B45,'Employee Master'!$A$10:$A$109,0)),"")</f>
        <v>Kavitha K</v>
      </c>
      <c r="D45" s="18"/>
      <c r="E45" s="18"/>
      <c r="F45" s="16"/>
      <c r="G45" s="16" t="str">
        <f t="shared" si="1"/>
        <v/>
      </c>
      <c r="H45" s="16"/>
      <c r="I45" s="9"/>
    </row>
    <row r="46" spans="1:9" x14ac:dyDescent="0.3">
      <c r="A46" s="16"/>
      <c r="B46" s="9"/>
      <c r="C46" s="9" t="str">
        <f>IFERROR(INDEX('Employee Master'!$B$10:$B$109,MATCH(B46,'Employee Master'!$A$10:$A$109,0)),"")</f>
        <v/>
      </c>
      <c r="D46" s="18"/>
      <c r="E46" s="18"/>
      <c r="F46" s="16"/>
      <c r="G46" s="16" t="str">
        <f t="shared" si="1"/>
        <v/>
      </c>
      <c r="H46" s="16"/>
      <c r="I46" s="9"/>
    </row>
    <row r="47" spans="1:9" x14ac:dyDescent="0.3">
      <c r="A47" s="16"/>
      <c r="B47" s="9"/>
      <c r="C47" s="9" t="str">
        <f>IFERROR(INDEX('Employee Master'!$B$10:$B$109,MATCH(B47,'Employee Master'!$A$10:$A$109,0)),"")</f>
        <v/>
      </c>
      <c r="D47" s="18"/>
      <c r="E47" s="18"/>
      <c r="F47" s="16"/>
      <c r="G47" s="16" t="str">
        <f t="shared" si="1"/>
        <v/>
      </c>
      <c r="H47" s="16"/>
      <c r="I47" s="9"/>
    </row>
    <row r="48" spans="1:9" x14ac:dyDescent="0.3">
      <c r="A48" s="16"/>
      <c r="B48" s="9"/>
      <c r="C48" s="9" t="str">
        <f>IFERROR(INDEX('Employee Master'!$B$10:$B$109,MATCH(B48,'Employee Master'!$A$10:$A$109,0)),"")</f>
        <v/>
      </c>
      <c r="D48" s="18"/>
      <c r="E48" s="18"/>
      <c r="F48" s="16"/>
      <c r="G48" s="16" t="str">
        <f t="shared" si="1"/>
        <v/>
      </c>
      <c r="H48" s="16"/>
      <c r="I48" s="9"/>
    </row>
    <row r="49" spans="1:9" x14ac:dyDescent="0.3">
      <c r="A49" s="16"/>
      <c r="B49" s="9"/>
      <c r="C49" s="9" t="str">
        <f>IFERROR(INDEX('Employee Master'!$B$10:$B$109,MATCH(B49,'Employee Master'!$A$10:$A$109,0)),"")</f>
        <v/>
      </c>
      <c r="D49" s="18"/>
      <c r="E49" s="18"/>
      <c r="F49" s="16"/>
      <c r="G49" s="16" t="str">
        <f t="shared" si="1"/>
        <v/>
      </c>
      <c r="H49" s="16"/>
      <c r="I49" s="9"/>
    </row>
    <row r="50" spans="1:9" x14ac:dyDescent="0.3">
      <c r="A50" s="16"/>
      <c r="B50" s="9"/>
      <c r="C50" s="9" t="str">
        <f>IFERROR(INDEX('Employee Master'!$B$10:$B$109,MATCH(B50,'Employee Master'!$A$10:$A$109,0)),"")</f>
        <v/>
      </c>
      <c r="D50" s="18"/>
      <c r="E50" s="18"/>
      <c r="F50" s="16"/>
      <c r="G50" s="16" t="str">
        <f t="shared" si="1"/>
        <v/>
      </c>
      <c r="H50" s="16"/>
      <c r="I50" s="9"/>
    </row>
    <row r="51" spans="1:9" x14ac:dyDescent="0.3">
      <c r="A51" s="16"/>
      <c r="B51" s="9"/>
      <c r="C51" s="9" t="str">
        <f>IFERROR(INDEX('Employee Master'!$B$10:$B$109,MATCH(B51,'Employee Master'!$A$10:$A$109,0)),"")</f>
        <v/>
      </c>
      <c r="D51" s="18"/>
      <c r="E51" s="18"/>
      <c r="F51" s="16"/>
      <c r="G51" s="16" t="str">
        <f t="shared" si="1"/>
        <v/>
      </c>
      <c r="H51" s="16"/>
      <c r="I51" s="9"/>
    </row>
    <row r="52" spans="1:9" x14ac:dyDescent="0.3">
      <c r="A52" s="16"/>
      <c r="B52" s="9"/>
      <c r="C52" s="9" t="str">
        <f>IFERROR(INDEX('Employee Master'!$B$10:$B$109,MATCH(B52,'Employee Master'!$A$10:$A$109,0)),"")</f>
        <v/>
      </c>
      <c r="D52" s="18"/>
      <c r="E52" s="18"/>
      <c r="F52" s="16"/>
      <c r="G52" s="16" t="str">
        <f t="shared" si="1"/>
        <v/>
      </c>
      <c r="H52" s="16"/>
      <c r="I52" s="9"/>
    </row>
    <row r="53" spans="1:9" x14ac:dyDescent="0.3">
      <c r="A53" s="16"/>
      <c r="B53" s="9"/>
      <c r="C53" s="9" t="str">
        <f>IFERROR(INDEX('Employee Master'!$B$10:$B$109,MATCH(B53,'Employee Master'!$A$10:$A$109,0)),"")</f>
        <v/>
      </c>
      <c r="D53" s="18"/>
      <c r="E53" s="18"/>
      <c r="F53" s="16"/>
      <c r="G53" s="16" t="str">
        <f t="shared" si="1"/>
        <v/>
      </c>
      <c r="H53" s="16"/>
      <c r="I53" s="9"/>
    </row>
    <row r="54" spans="1:9" x14ac:dyDescent="0.3">
      <c r="A54" s="16"/>
      <c r="B54" s="9"/>
      <c r="C54" s="9" t="str">
        <f>IFERROR(INDEX('Employee Master'!$B$10:$B$109,MATCH(B54,'Employee Master'!$A$10:$A$109,0)),"")</f>
        <v/>
      </c>
      <c r="D54" s="18"/>
      <c r="E54" s="18"/>
      <c r="F54" s="16"/>
      <c r="G54" s="16" t="str">
        <f t="shared" si="1"/>
        <v/>
      </c>
      <c r="H54" s="16"/>
      <c r="I54" s="9"/>
    </row>
    <row r="55" spans="1:9" x14ac:dyDescent="0.3">
      <c r="A55" s="16"/>
      <c r="B55" s="9"/>
      <c r="C55" s="9" t="str">
        <f>IFERROR(INDEX('Employee Master'!$B$10:$B$109,MATCH(B55,'Employee Master'!$A$10:$A$109,0)),"")</f>
        <v/>
      </c>
      <c r="D55" s="18"/>
      <c r="E55" s="18"/>
      <c r="F55" s="16"/>
      <c r="G55" s="16" t="str">
        <f t="shared" si="1"/>
        <v/>
      </c>
      <c r="H55" s="16"/>
      <c r="I55" s="9"/>
    </row>
    <row r="56" spans="1:9" x14ac:dyDescent="0.3">
      <c r="A56" s="16"/>
      <c r="B56" s="9"/>
      <c r="C56" s="9" t="str">
        <f>IFERROR(INDEX('Employee Master'!$B$10:$B$109,MATCH(B56,'Employee Master'!$A$10:$A$109,0)),"")</f>
        <v/>
      </c>
      <c r="D56" s="18"/>
      <c r="E56" s="18"/>
      <c r="F56" s="16"/>
      <c r="G56" s="16" t="str">
        <f t="shared" si="1"/>
        <v/>
      </c>
      <c r="H56" s="16"/>
      <c r="I56" s="9"/>
    </row>
    <row r="57" spans="1:9" x14ac:dyDescent="0.3">
      <c r="A57" s="16"/>
      <c r="B57" s="9"/>
      <c r="C57" s="9" t="str">
        <f>IFERROR(INDEX('Employee Master'!$B$10:$B$109,MATCH(B57,'Employee Master'!$A$10:$A$109,0)),"")</f>
        <v/>
      </c>
      <c r="D57" s="18"/>
      <c r="E57" s="18"/>
      <c r="F57" s="16"/>
      <c r="G57" s="16" t="str">
        <f t="shared" si="1"/>
        <v/>
      </c>
      <c r="H57" s="16"/>
      <c r="I57" s="9"/>
    </row>
    <row r="58" spans="1:9" x14ac:dyDescent="0.3">
      <c r="A58" s="16"/>
      <c r="B58" s="9"/>
      <c r="C58" s="9" t="str">
        <f>IFERROR(INDEX('Employee Master'!$B$10:$B$109,MATCH(B58,'Employee Master'!$A$10:$A$109,0)),"")</f>
        <v/>
      </c>
      <c r="D58" s="18"/>
      <c r="E58" s="18"/>
      <c r="F58" s="16"/>
      <c r="G58" s="16" t="str">
        <f t="shared" si="1"/>
        <v/>
      </c>
      <c r="H58" s="16"/>
      <c r="I58" s="9"/>
    </row>
    <row r="59" spans="1:9" x14ac:dyDescent="0.3">
      <c r="A59" s="16"/>
      <c r="B59" s="9"/>
      <c r="C59" s="9" t="str">
        <f>IFERROR(INDEX('Employee Master'!$B$10:$B$109,MATCH(B59,'Employee Master'!$A$10:$A$109,0)),"")</f>
        <v/>
      </c>
      <c r="D59" s="18"/>
      <c r="E59" s="18"/>
      <c r="F59" s="16"/>
      <c r="G59" s="16" t="str">
        <f t="shared" si="1"/>
        <v/>
      </c>
      <c r="H59" s="16"/>
      <c r="I59" s="9"/>
    </row>
    <row r="60" spans="1:9" x14ac:dyDescent="0.3">
      <c r="A60" s="16"/>
      <c r="B60" s="9"/>
      <c r="C60" s="9" t="str">
        <f>IFERROR(INDEX('Employee Master'!$B$10:$B$109,MATCH(B60,'Employee Master'!$A$10:$A$109,0)),"")</f>
        <v/>
      </c>
      <c r="D60" s="18"/>
      <c r="E60" s="18"/>
      <c r="F60" s="16"/>
      <c r="G60" s="16" t="str">
        <f t="shared" si="1"/>
        <v/>
      </c>
      <c r="H60" s="16"/>
      <c r="I60" s="9"/>
    </row>
    <row r="61" spans="1:9" x14ac:dyDescent="0.3">
      <c r="A61" s="16"/>
      <c r="B61" s="9"/>
      <c r="C61" s="9" t="str">
        <f>IFERROR(INDEX('Employee Master'!$B$10:$B$109,MATCH(B61,'Employee Master'!$A$10:$A$109,0)),"")</f>
        <v/>
      </c>
      <c r="D61" s="18"/>
      <c r="E61" s="18"/>
      <c r="F61" s="16"/>
      <c r="G61" s="16" t="str">
        <f t="shared" si="1"/>
        <v/>
      </c>
      <c r="H61" s="16"/>
      <c r="I61" s="9"/>
    </row>
    <row r="62" spans="1:9" x14ac:dyDescent="0.3">
      <c r="A62" s="16"/>
      <c r="B62" s="9"/>
      <c r="C62" s="9" t="str">
        <f>IFERROR(INDEX('Employee Master'!$B$10:$B$109,MATCH(B62,'Employee Master'!$A$10:$A$109,0)),"")</f>
        <v/>
      </c>
      <c r="D62" s="18"/>
      <c r="E62" s="18"/>
      <c r="F62" s="16"/>
      <c r="G62" s="16" t="str">
        <f t="shared" si="1"/>
        <v/>
      </c>
      <c r="H62" s="16"/>
      <c r="I62" s="9"/>
    </row>
    <row r="63" spans="1:9" x14ac:dyDescent="0.3">
      <c r="A63" s="16"/>
      <c r="B63" s="9"/>
      <c r="C63" s="9" t="str">
        <f>IFERROR(INDEX('Employee Master'!$B$10:$B$109,MATCH(B63,'Employee Master'!$A$10:$A$109,0)),"")</f>
        <v/>
      </c>
      <c r="D63" s="18"/>
      <c r="E63" s="18"/>
      <c r="F63" s="16"/>
      <c r="G63" s="16" t="str">
        <f t="shared" si="1"/>
        <v/>
      </c>
      <c r="H63" s="16"/>
      <c r="I63" s="9"/>
    </row>
    <row r="64" spans="1:9" x14ac:dyDescent="0.3">
      <c r="A64" s="16"/>
      <c r="B64" s="9"/>
      <c r="C64" s="9" t="str">
        <f>IFERROR(INDEX('Employee Master'!$B$10:$B$109,MATCH(B64,'Employee Master'!$A$10:$A$109,0)),"")</f>
        <v/>
      </c>
      <c r="D64" s="18"/>
      <c r="E64" s="18"/>
      <c r="F64" s="16"/>
      <c r="G64" s="16" t="str">
        <f t="shared" si="1"/>
        <v/>
      </c>
      <c r="H64" s="16"/>
      <c r="I64" s="9"/>
    </row>
    <row r="65" spans="1:9" x14ac:dyDescent="0.3">
      <c r="A65" s="16"/>
      <c r="B65" s="9"/>
      <c r="C65" s="9" t="str">
        <f>IFERROR(INDEX('Employee Master'!$B$10:$B$109,MATCH(B65,'Employee Master'!$A$10:$A$109,0)),"")</f>
        <v/>
      </c>
      <c r="D65" s="18"/>
      <c r="E65" s="18"/>
      <c r="F65" s="16"/>
      <c r="G65" s="16" t="str">
        <f t="shared" si="1"/>
        <v/>
      </c>
      <c r="H65" s="16"/>
      <c r="I65" s="9"/>
    </row>
    <row r="66" spans="1:9" x14ac:dyDescent="0.3">
      <c r="A66" s="16"/>
      <c r="B66" s="9"/>
      <c r="C66" s="9" t="str">
        <f>IFERROR(INDEX('Employee Master'!$B$10:$B$109,MATCH(B66,'Employee Master'!$A$10:$A$109,0)),"")</f>
        <v/>
      </c>
      <c r="D66" s="18"/>
      <c r="E66" s="18"/>
      <c r="F66" s="16"/>
      <c r="G66" s="16" t="str">
        <f t="shared" si="1"/>
        <v/>
      </c>
      <c r="H66" s="16"/>
      <c r="I66" s="9"/>
    </row>
    <row r="67" spans="1:9" x14ac:dyDescent="0.3">
      <c r="A67" s="16"/>
      <c r="B67" s="9"/>
      <c r="C67" s="9" t="str">
        <f>IFERROR(INDEX('Employee Master'!$B$10:$B$109,MATCH(B67,'Employee Master'!$A$10:$A$109,0)),"")</f>
        <v/>
      </c>
      <c r="D67" s="18"/>
      <c r="E67" s="18"/>
      <c r="F67" s="16"/>
      <c r="G67" s="16" t="str">
        <f t="shared" si="1"/>
        <v/>
      </c>
      <c r="H67" s="16"/>
      <c r="I67" s="9"/>
    </row>
    <row r="68" spans="1:9" x14ac:dyDescent="0.3">
      <c r="A68" s="16"/>
      <c r="B68" s="9"/>
      <c r="C68" s="9" t="str">
        <f>IFERROR(INDEX('Employee Master'!$B$10:$B$109,MATCH(B68,'Employee Master'!$A$10:$A$109,0)),"")</f>
        <v/>
      </c>
      <c r="D68" s="18"/>
      <c r="E68" s="18"/>
      <c r="F68" s="16"/>
      <c r="G68" s="16" t="str">
        <f t="shared" si="1"/>
        <v/>
      </c>
      <c r="H68" s="16"/>
      <c r="I68" s="9"/>
    </row>
    <row r="69" spans="1:9" x14ac:dyDescent="0.3">
      <c r="A69" s="16"/>
      <c r="B69" s="9"/>
      <c r="C69" s="9" t="str">
        <f>IFERROR(INDEX('Employee Master'!$B$10:$B$109,MATCH(B69,'Employee Master'!$A$10:$A$109,0)),"")</f>
        <v/>
      </c>
      <c r="D69" s="18"/>
      <c r="E69" s="18"/>
      <c r="F69" s="16"/>
      <c r="G69" s="16" t="str">
        <f t="shared" si="1"/>
        <v/>
      </c>
      <c r="H69" s="16"/>
      <c r="I69" s="9"/>
    </row>
    <row r="70" spans="1:9" x14ac:dyDescent="0.3">
      <c r="A70" s="16"/>
      <c r="B70" s="9"/>
      <c r="C70" s="9" t="str">
        <f>IFERROR(INDEX('Employee Master'!$B$10:$B$109,MATCH(B70,'Employee Master'!$A$10:$A$109,0)),"")</f>
        <v/>
      </c>
      <c r="D70" s="18"/>
      <c r="E70" s="18"/>
      <c r="F70" s="16"/>
      <c r="G70" s="16" t="str">
        <f t="shared" si="1"/>
        <v/>
      </c>
      <c r="H70" s="16"/>
      <c r="I70" s="9"/>
    </row>
    <row r="71" spans="1:9" x14ac:dyDescent="0.3">
      <c r="A71" s="16"/>
      <c r="B71" s="9"/>
      <c r="C71" s="9" t="str">
        <f>IFERROR(INDEX('Employee Master'!$B$10:$B$109,MATCH(B71,'Employee Master'!$A$10:$A$109,0)),"")</f>
        <v/>
      </c>
      <c r="D71" s="18"/>
      <c r="E71" s="18"/>
      <c r="F71" s="16"/>
      <c r="G71" s="16" t="str">
        <f t="shared" si="1"/>
        <v/>
      </c>
      <c r="H71" s="16"/>
      <c r="I71" s="9"/>
    </row>
    <row r="72" spans="1:9" x14ac:dyDescent="0.3">
      <c r="A72" s="16"/>
      <c r="B72" s="9"/>
      <c r="C72" s="9" t="str">
        <f>IFERROR(INDEX('Employee Master'!$B$10:$B$109,MATCH(B72,'Employee Master'!$A$10:$A$109,0)),"")</f>
        <v/>
      </c>
      <c r="D72" s="18"/>
      <c r="E72" s="18"/>
      <c r="F72" s="16"/>
      <c r="G72" s="16" t="str">
        <f t="shared" si="1"/>
        <v/>
      </c>
      <c r="H72" s="16"/>
      <c r="I72" s="9"/>
    </row>
    <row r="73" spans="1:9" x14ac:dyDescent="0.3">
      <c r="A73" s="16"/>
      <c r="B73" s="9"/>
      <c r="C73" s="9" t="str">
        <f>IFERROR(INDEX('Employee Master'!$B$10:$B$109,MATCH(B73,'Employee Master'!$A$10:$A$109,0)),"")</f>
        <v/>
      </c>
      <c r="D73" s="18"/>
      <c r="E73" s="18"/>
      <c r="F73" s="16"/>
      <c r="G73" s="16" t="str">
        <f t="shared" si="1"/>
        <v/>
      </c>
      <c r="H73" s="16"/>
      <c r="I73" s="9"/>
    </row>
    <row r="74" spans="1:9" x14ac:dyDescent="0.3">
      <c r="A74" s="16"/>
      <c r="B74" s="9"/>
      <c r="C74" s="9" t="str">
        <f>IFERROR(INDEX('Employee Master'!$B$10:$B$109,MATCH(B74,'Employee Master'!$A$10:$A$109,0)),"")</f>
        <v/>
      </c>
      <c r="D74" s="18"/>
      <c r="E74" s="18"/>
      <c r="F74" s="16"/>
      <c r="G74" s="16" t="str">
        <f t="shared" ref="G74:G105" si="2">IF(OR(D74="",E74=""),"",E74-D74+1)</f>
        <v/>
      </c>
      <c r="H74" s="16"/>
      <c r="I74" s="9"/>
    </row>
    <row r="75" spans="1:9" x14ac:dyDescent="0.3">
      <c r="A75" s="16"/>
      <c r="B75" s="9"/>
      <c r="C75" s="9" t="str">
        <f>IFERROR(INDEX('Employee Master'!$B$10:$B$109,MATCH(B75,'Employee Master'!$A$10:$A$109,0)),"")</f>
        <v/>
      </c>
      <c r="D75" s="18"/>
      <c r="E75" s="18"/>
      <c r="F75" s="16"/>
      <c r="G75" s="16" t="str">
        <f t="shared" si="2"/>
        <v/>
      </c>
      <c r="H75" s="16"/>
      <c r="I75" s="9"/>
    </row>
    <row r="76" spans="1:9" x14ac:dyDescent="0.3">
      <c r="A76" s="16"/>
      <c r="B76" s="9"/>
      <c r="C76" s="9" t="str">
        <f>IFERROR(INDEX('Employee Master'!$B$10:$B$109,MATCH(B76,'Employee Master'!$A$10:$A$109,0)),"")</f>
        <v/>
      </c>
      <c r="D76" s="18"/>
      <c r="E76" s="18"/>
      <c r="F76" s="16"/>
      <c r="G76" s="16" t="str">
        <f t="shared" si="2"/>
        <v/>
      </c>
      <c r="H76" s="16"/>
      <c r="I76" s="9"/>
    </row>
    <row r="77" spans="1:9" x14ac:dyDescent="0.3">
      <c r="A77" s="16"/>
      <c r="B77" s="9"/>
      <c r="C77" s="9" t="str">
        <f>IFERROR(INDEX('Employee Master'!$B$10:$B$109,MATCH(B77,'Employee Master'!$A$10:$A$109,0)),"")</f>
        <v/>
      </c>
      <c r="D77" s="18"/>
      <c r="E77" s="18"/>
      <c r="F77" s="16"/>
      <c r="G77" s="16" t="str">
        <f t="shared" si="2"/>
        <v/>
      </c>
      <c r="H77" s="16"/>
      <c r="I77" s="9"/>
    </row>
    <row r="78" spans="1:9" x14ac:dyDescent="0.3">
      <c r="A78" s="16"/>
      <c r="B78" s="9"/>
      <c r="C78" s="9" t="str">
        <f>IFERROR(INDEX('Employee Master'!$B$10:$B$109,MATCH(B78,'Employee Master'!$A$10:$A$109,0)),"")</f>
        <v/>
      </c>
      <c r="D78" s="18"/>
      <c r="E78" s="18"/>
      <c r="F78" s="16"/>
      <c r="G78" s="16" t="str">
        <f t="shared" si="2"/>
        <v/>
      </c>
      <c r="H78" s="16"/>
      <c r="I78" s="9"/>
    </row>
    <row r="79" spans="1:9" x14ac:dyDescent="0.3">
      <c r="A79" s="16"/>
      <c r="B79" s="9"/>
      <c r="C79" s="9" t="str">
        <f>IFERROR(INDEX('Employee Master'!$B$10:$B$109,MATCH(B79,'Employee Master'!$A$10:$A$109,0)),"")</f>
        <v/>
      </c>
      <c r="D79" s="18"/>
      <c r="E79" s="18"/>
      <c r="F79" s="16"/>
      <c r="G79" s="16" t="str">
        <f t="shared" si="2"/>
        <v/>
      </c>
      <c r="H79" s="16"/>
      <c r="I79" s="9"/>
    </row>
    <row r="80" spans="1:9" x14ac:dyDescent="0.3">
      <c r="A80" s="16"/>
      <c r="B80" s="9"/>
      <c r="C80" s="9" t="str">
        <f>IFERROR(INDEX('Employee Master'!$B$10:$B$109,MATCH(B80,'Employee Master'!$A$10:$A$109,0)),"")</f>
        <v/>
      </c>
      <c r="D80" s="18"/>
      <c r="E80" s="18"/>
      <c r="F80" s="16"/>
      <c r="G80" s="16" t="str">
        <f t="shared" si="2"/>
        <v/>
      </c>
      <c r="H80" s="16"/>
      <c r="I80" s="9"/>
    </row>
    <row r="81" spans="1:9" x14ac:dyDescent="0.3">
      <c r="A81" s="16"/>
      <c r="B81" s="9"/>
      <c r="C81" s="9" t="str">
        <f>IFERROR(INDEX('Employee Master'!$B$10:$B$109,MATCH(B81,'Employee Master'!$A$10:$A$109,0)),"")</f>
        <v/>
      </c>
      <c r="D81" s="18"/>
      <c r="E81" s="18"/>
      <c r="F81" s="16"/>
      <c r="G81" s="16" t="str">
        <f t="shared" si="2"/>
        <v/>
      </c>
      <c r="H81" s="16"/>
      <c r="I81" s="9"/>
    </row>
    <row r="82" spans="1:9" x14ac:dyDescent="0.3">
      <c r="A82" s="16"/>
      <c r="B82" s="9"/>
      <c r="C82" s="9" t="str">
        <f>IFERROR(INDEX('Employee Master'!$B$10:$B$109,MATCH(B82,'Employee Master'!$A$10:$A$109,0)),"")</f>
        <v/>
      </c>
      <c r="D82" s="18"/>
      <c r="E82" s="18"/>
      <c r="F82" s="16"/>
      <c r="G82" s="16" t="str">
        <f t="shared" si="2"/>
        <v/>
      </c>
      <c r="H82" s="16"/>
      <c r="I82" s="9"/>
    </row>
    <row r="83" spans="1:9" x14ac:dyDescent="0.3">
      <c r="A83" s="16"/>
      <c r="B83" s="9"/>
      <c r="C83" s="9" t="str">
        <f>IFERROR(INDEX('Employee Master'!$B$10:$B$109,MATCH(B83,'Employee Master'!$A$10:$A$109,0)),"")</f>
        <v/>
      </c>
      <c r="D83" s="18"/>
      <c r="E83" s="18"/>
      <c r="F83" s="16"/>
      <c r="G83" s="16" t="str">
        <f t="shared" si="2"/>
        <v/>
      </c>
      <c r="H83" s="16"/>
      <c r="I83" s="9"/>
    </row>
    <row r="84" spans="1:9" x14ac:dyDescent="0.3">
      <c r="A84" s="16"/>
      <c r="B84" s="9"/>
      <c r="C84" s="9" t="str">
        <f>IFERROR(INDEX('Employee Master'!$B$10:$B$109,MATCH(B84,'Employee Master'!$A$10:$A$109,0)),"")</f>
        <v/>
      </c>
      <c r="D84" s="18"/>
      <c r="E84" s="18"/>
      <c r="F84" s="16"/>
      <c r="G84" s="16" t="str">
        <f t="shared" si="2"/>
        <v/>
      </c>
      <c r="H84" s="16"/>
      <c r="I84" s="9"/>
    </row>
    <row r="85" spans="1:9" x14ac:dyDescent="0.3">
      <c r="A85" s="16"/>
      <c r="B85" s="9"/>
      <c r="C85" s="9" t="str">
        <f>IFERROR(INDEX('Employee Master'!$B$10:$B$109,MATCH(B85,'Employee Master'!$A$10:$A$109,0)),"")</f>
        <v/>
      </c>
      <c r="D85" s="18"/>
      <c r="E85" s="18"/>
      <c r="F85" s="16"/>
      <c r="G85" s="16" t="str">
        <f t="shared" si="2"/>
        <v/>
      </c>
      <c r="H85" s="16"/>
      <c r="I85" s="9"/>
    </row>
    <row r="86" spans="1:9" x14ac:dyDescent="0.3">
      <c r="A86" s="16"/>
      <c r="B86" s="9"/>
      <c r="C86" s="9" t="str">
        <f>IFERROR(INDEX('Employee Master'!$B$10:$B$109,MATCH(B86,'Employee Master'!$A$10:$A$109,0)),"")</f>
        <v/>
      </c>
      <c r="D86" s="18"/>
      <c r="E86" s="18"/>
      <c r="F86" s="16"/>
      <c r="G86" s="16" t="str">
        <f t="shared" si="2"/>
        <v/>
      </c>
      <c r="H86" s="16"/>
      <c r="I86" s="9"/>
    </row>
    <row r="87" spans="1:9" x14ac:dyDescent="0.3">
      <c r="A87" s="16"/>
      <c r="B87" s="9"/>
      <c r="C87" s="9" t="str">
        <f>IFERROR(INDEX('Employee Master'!$B$10:$B$109,MATCH(B87,'Employee Master'!$A$10:$A$109,0)),"")</f>
        <v/>
      </c>
      <c r="D87" s="18"/>
      <c r="E87" s="18"/>
      <c r="F87" s="16"/>
      <c r="G87" s="16" t="str">
        <f t="shared" si="2"/>
        <v/>
      </c>
      <c r="H87" s="16"/>
      <c r="I87" s="9"/>
    </row>
    <row r="88" spans="1:9" x14ac:dyDescent="0.3">
      <c r="A88" s="16"/>
      <c r="B88" s="9"/>
      <c r="C88" s="9" t="str">
        <f>IFERROR(INDEX('Employee Master'!$B$10:$B$109,MATCH(B88,'Employee Master'!$A$10:$A$109,0)),"")</f>
        <v/>
      </c>
      <c r="D88" s="18"/>
      <c r="E88" s="18"/>
      <c r="F88" s="16"/>
      <c r="G88" s="16" t="str">
        <f t="shared" si="2"/>
        <v/>
      </c>
      <c r="H88" s="16"/>
      <c r="I88" s="9"/>
    </row>
    <row r="89" spans="1:9" x14ac:dyDescent="0.3">
      <c r="A89" s="16"/>
      <c r="B89" s="9"/>
      <c r="C89" s="9" t="str">
        <f>IFERROR(INDEX('Employee Master'!$B$10:$B$109,MATCH(B89,'Employee Master'!$A$10:$A$109,0)),"")</f>
        <v/>
      </c>
      <c r="D89" s="18"/>
      <c r="E89" s="18"/>
      <c r="F89" s="16"/>
      <c r="G89" s="16" t="str">
        <f t="shared" si="2"/>
        <v/>
      </c>
      <c r="H89" s="16"/>
      <c r="I89" s="9"/>
    </row>
    <row r="90" spans="1:9" x14ac:dyDescent="0.3">
      <c r="A90" s="16"/>
      <c r="B90" s="9"/>
      <c r="C90" s="9" t="str">
        <f>IFERROR(INDEX('Employee Master'!$B$10:$B$109,MATCH(B90,'Employee Master'!$A$10:$A$109,0)),"")</f>
        <v/>
      </c>
      <c r="D90" s="18"/>
      <c r="E90" s="18"/>
      <c r="F90" s="16"/>
      <c r="G90" s="16" t="str">
        <f t="shared" si="2"/>
        <v/>
      </c>
      <c r="H90" s="16"/>
      <c r="I90" s="9"/>
    </row>
    <row r="91" spans="1:9" x14ac:dyDescent="0.3">
      <c r="A91" s="16"/>
      <c r="B91" s="9"/>
      <c r="C91" s="9" t="str">
        <f>IFERROR(INDEX('Employee Master'!$B$10:$B$109,MATCH(B91,'Employee Master'!$A$10:$A$109,0)),"")</f>
        <v/>
      </c>
      <c r="D91" s="18"/>
      <c r="E91" s="18"/>
      <c r="F91" s="16"/>
      <c r="G91" s="16" t="str">
        <f t="shared" si="2"/>
        <v/>
      </c>
      <c r="H91" s="16"/>
      <c r="I91" s="9"/>
    </row>
    <row r="92" spans="1:9" x14ac:dyDescent="0.3">
      <c r="A92" s="16"/>
      <c r="B92" s="9"/>
      <c r="C92" s="9" t="str">
        <f>IFERROR(INDEX('Employee Master'!$B$10:$B$109,MATCH(B92,'Employee Master'!$A$10:$A$109,0)),"")</f>
        <v/>
      </c>
      <c r="D92" s="18"/>
      <c r="E92" s="18"/>
      <c r="F92" s="16"/>
      <c r="G92" s="16" t="str">
        <f t="shared" si="2"/>
        <v/>
      </c>
      <c r="H92" s="16"/>
      <c r="I92" s="9"/>
    </row>
    <row r="93" spans="1:9" x14ac:dyDescent="0.3">
      <c r="A93" s="16"/>
      <c r="B93" s="9"/>
      <c r="C93" s="9" t="str">
        <f>IFERROR(INDEX('Employee Master'!$B$10:$B$109,MATCH(B93,'Employee Master'!$A$10:$A$109,0)),"")</f>
        <v/>
      </c>
      <c r="D93" s="18"/>
      <c r="E93" s="18"/>
      <c r="F93" s="16"/>
      <c r="G93" s="16" t="str">
        <f t="shared" si="2"/>
        <v/>
      </c>
      <c r="H93" s="16"/>
      <c r="I93" s="9"/>
    </row>
    <row r="94" spans="1:9" x14ac:dyDescent="0.3">
      <c r="A94" s="16"/>
      <c r="B94" s="9"/>
      <c r="C94" s="9" t="str">
        <f>IFERROR(INDEX('Employee Master'!$B$10:$B$109,MATCH(B94,'Employee Master'!$A$10:$A$109,0)),"")</f>
        <v/>
      </c>
      <c r="D94" s="18"/>
      <c r="E94" s="18"/>
      <c r="F94" s="16"/>
      <c r="G94" s="16" t="str">
        <f t="shared" si="2"/>
        <v/>
      </c>
      <c r="H94" s="16"/>
      <c r="I94" s="9"/>
    </row>
    <row r="95" spans="1:9" x14ac:dyDescent="0.3">
      <c r="A95" s="16"/>
      <c r="B95" s="9"/>
      <c r="C95" s="9" t="str">
        <f>IFERROR(INDEX('Employee Master'!$B$10:$B$109,MATCH(B95,'Employee Master'!$A$10:$A$109,0)),"")</f>
        <v/>
      </c>
      <c r="D95" s="18"/>
      <c r="E95" s="18"/>
      <c r="F95" s="16"/>
      <c r="G95" s="16" t="str">
        <f t="shared" si="2"/>
        <v/>
      </c>
      <c r="H95" s="16"/>
      <c r="I95" s="9"/>
    </row>
    <row r="96" spans="1:9" x14ac:dyDescent="0.3">
      <c r="A96" s="16"/>
      <c r="B96" s="9"/>
      <c r="C96" s="9" t="str">
        <f>IFERROR(INDEX('Employee Master'!$B$10:$B$109,MATCH(B96,'Employee Master'!$A$10:$A$109,0)),"")</f>
        <v/>
      </c>
      <c r="D96" s="18"/>
      <c r="E96" s="18"/>
      <c r="F96" s="16"/>
      <c r="G96" s="16" t="str">
        <f t="shared" si="2"/>
        <v/>
      </c>
      <c r="H96" s="16"/>
      <c r="I96" s="9"/>
    </row>
    <row r="97" spans="1:9" x14ac:dyDescent="0.3">
      <c r="A97" s="16"/>
      <c r="B97" s="9"/>
      <c r="C97" s="9" t="str">
        <f>IFERROR(INDEX('Employee Master'!$B$10:$B$109,MATCH(B97,'Employee Master'!$A$10:$A$109,0)),"")</f>
        <v/>
      </c>
      <c r="D97" s="18"/>
      <c r="E97" s="18"/>
      <c r="F97" s="16"/>
      <c r="G97" s="16" t="str">
        <f t="shared" si="2"/>
        <v/>
      </c>
      <c r="H97" s="16"/>
      <c r="I97" s="9"/>
    </row>
    <row r="98" spans="1:9" x14ac:dyDescent="0.3">
      <c r="A98" s="16"/>
      <c r="B98" s="9"/>
      <c r="C98" s="9" t="str">
        <f>IFERROR(INDEX('Employee Master'!$B$10:$B$109,MATCH(B98,'Employee Master'!$A$10:$A$109,0)),"")</f>
        <v/>
      </c>
      <c r="D98" s="18"/>
      <c r="E98" s="18"/>
      <c r="F98" s="16"/>
      <c r="G98" s="16" t="str">
        <f t="shared" si="2"/>
        <v/>
      </c>
      <c r="H98" s="16"/>
      <c r="I98" s="9"/>
    </row>
    <row r="99" spans="1:9" x14ac:dyDescent="0.3">
      <c r="A99" s="16"/>
      <c r="B99" s="9"/>
      <c r="C99" s="9" t="str">
        <f>IFERROR(INDEX('Employee Master'!$B$10:$B$109,MATCH(B99,'Employee Master'!$A$10:$A$109,0)),"")</f>
        <v/>
      </c>
      <c r="D99" s="18"/>
      <c r="E99" s="18"/>
      <c r="F99" s="16"/>
      <c r="G99" s="16" t="str">
        <f t="shared" si="2"/>
        <v/>
      </c>
      <c r="H99" s="16"/>
      <c r="I99" s="9"/>
    </row>
    <row r="100" spans="1:9" x14ac:dyDescent="0.3">
      <c r="A100" s="16"/>
      <c r="B100" s="9"/>
      <c r="C100" s="9" t="str">
        <f>IFERROR(INDEX('Employee Master'!$B$10:$B$109,MATCH(B100,'Employee Master'!$A$10:$A$109,0)),"")</f>
        <v/>
      </c>
      <c r="D100" s="18"/>
      <c r="E100" s="18"/>
      <c r="F100" s="16"/>
      <c r="G100" s="16" t="str">
        <f t="shared" si="2"/>
        <v/>
      </c>
      <c r="H100" s="16"/>
      <c r="I100" s="9"/>
    </row>
    <row r="101" spans="1:9" x14ac:dyDescent="0.3">
      <c r="A101" s="16"/>
      <c r="B101" s="9"/>
      <c r="C101" s="9" t="str">
        <f>IFERROR(INDEX('Employee Master'!$B$10:$B$109,MATCH(B101,'Employee Master'!$A$10:$A$109,0)),"")</f>
        <v/>
      </c>
      <c r="D101" s="18"/>
      <c r="E101" s="18"/>
      <c r="F101" s="16"/>
      <c r="G101" s="16" t="str">
        <f t="shared" si="2"/>
        <v/>
      </c>
      <c r="H101" s="16"/>
      <c r="I101" s="9"/>
    </row>
    <row r="102" spans="1:9" x14ac:dyDescent="0.3">
      <c r="A102" s="16"/>
      <c r="B102" s="9"/>
      <c r="C102" s="9" t="str">
        <f>IFERROR(INDEX('Employee Master'!$B$10:$B$109,MATCH(B102,'Employee Master'!$A$10:$A$109,0)),"")</f>
        <v/>
      </c>
      <c r="D102" s="18"/>
      <c r="E102" s="18"/>
      <c r="F102" s="16"/>
      <c r="G102" s="16" t="str">
        <f t="shared" si="2"/>
        <v/>
      </c>
      <c r="H102" s="16"/>
      <c r="I102" s="9"/>
    </row>
    <row r="103" spans="1:9" x14ac:dyDescent="0.3">
      <c r="A103" s="16"/>
      <c r="B103" s="9"/>
      <c r="C103" s="9" t="str">
        <f>IFERROR(INDEX('Employee Master'!$B$10:$B$109,MATCH(B103,'Employee Master'!$A$10:$A$109,0)),"")</f>
        <v/>
      </c>
      <c r="D103" s="18"/>
      <c r="E103" s="18"/>
      <c r="F103" s="16"/>
      <c r="G103" s="16" t="str">
        <f t="shared" si="2"/>
        <v/>
      </c>
      <c r="H103" s="16"/>
      <c r="I103" s="9"/>
    </row>
    <row r="104" spans="1:9" x14ac:dyDescent="0.3">
      <c r="A104" s="16"/>
      <c r="B104" s="9"/>
      <c r="C104" s="9" t="str">
        <f>IFERROR(INDEX('Employee Master'!$B$10:$B$109,MATCH(B104,'Employee Master'!$A$10:$A$109,0)),"")</f>
        <v/>
      </c>
      <c r="D104" s="18"/>
      <c r="E104" s="18"/>
      <c r="F104" s="16"/>
      <c r="G104" s="16" t="str">
        <f t="shared" si="2"/>
        <v/>
      </c>
      <c r="H104" s="16"/>
      <c r="I104" s="9"/>
    </row>
    <row r="105" spans="1:9" x14ac:dyDescent="0.3">
      <c r="A105" s="16"/>
      <c r="B105" s="9"/>
      <c r="C105" s="9" t="str">
        <f>IFERROR(INDEX('Employee Master'!$B$10:$B$109,MATCH(B105,'Employee Master'!$A$10:$A$109,0)),"")</f>
        <v/>
      </c>
      <c r="D105" s="18"/>
      <c r="E105" s="18"/>
      <c r="F105" s="16"/>
      <c r="G105" s="16" t="str">
        <f t="shared" si="2"/>
        <v/>
      </c>
      <c r="H105" s="16"/>
      <c r="I105" s="9"/>
    </row>
    <row r="106" spans="1:9" x14ac:dyDescent="0.3">
      <c r="A106" s="16"/>
      <c r="B106" s="9"/>
      <c r="C106" s="9" t="str">
        <f>IFERROR(INDEX('Employee Master'!$B$10:$B$109,MATCH(B106,'Employee Master'!$A$10:$A$109,0)),"")</f>
        <v/>
      </c>
      <c r="D106" s="18"/>
      <c r="E106" s="18"/>
      <c r="F106" s="16"/>
      <c r="G106" s="16" t="str">
        <f t="shared" ref="G106:G137" si="3">IF(OR(D106="",E106=""),"",E106-D106+1)</f>
        <v/>
      </c>
      <c r="H106" s="16"/>
      <c r="I106" s="9"/>
    </row>
    <row r="107" spans="1:9" x14ac:dyDescent="0.3">
      <c r="A107" s="16"/>
      <c r="B107" s="9"/>
      <c r="C107" s="9" t="str">
        <f>IFERROR(INDEX('Employee Master'!$B$10:$B$109,MATCH(B107,'Employee Master'!$A$10:$A$109,0)),"")</f>
        <v/>
      </c>
      <c r="D107" s="18"/>
      <c r="E107" s="18"/>
      <c r="F107" s="16"/>
      <c r="G107" s="16" t="str">
        <f t="shared" si="3"/>
        <v/>
      </c>
      <c r="H107" s="16"/>
      <c r="I107" s="9"/>
    </row>
    <row r="108" spans="1:9" x14ac:dyDescent="0.3">
      <c r="A108" s="16"/>
      <c r="B108" s="9"/>
      <c r="C108" s="9" t="str">
        <f>IFERROR(INDEX('Employee Master'!$B$10:$B$109,MATCH(B108,'Employee Master'!$A$10:$A$109,0)),"")</f>
        <v/>
      </c>
      <c r="D108" s="18"/>
      <c r="E108" s="18"/>
      <c r="F108" s="16"/>
      <c r="G108" s="16" t="str">
        <f t="shared" si="3"/>
        <v/>
      </c>
      <c r="H108" s="16"/>
      <c r="I108" s="9"/>
    </row>
    <row r="109" spans="1:9" x14ac:dyDescent="0.3">
      <c r="A109" s="16"/>
      <c r="B109" s="9"/>
      <c r="C109" s="9" t="str">
        <f>IFERROR(INDEX('Employee Master'!$B$10:$B$109,MATCH(B109,'Employee Master'!$A$10:$A$109,0)),"")</f>
        <v/>
      </c>
      <c r="D109" s="18"/>
      <c r="E109" s="18"/>
      <c r="F109" s="16"/>
      <c r="G109" s="16" t="str">
        <f t="shared" si="3"/>
        <v/>
      </c>
      <c r="H109" s="16"/>
      <c r="I109" s="9"/>
    </row>
    <row r="110" spans="1:9" x14ac:dyDescent="0.3">
      <c r="A110" s="16"/>
      <c r="B110" s="9"/>
      <c r="C110" s="9" t="str">
        <f>IFERROR(INDEX('Employee Master'!$B$10:$B$109,MATCH(B110,'Employee Master'!$A$10:$A$109,0)),"")</f>
        <v/>
      </c>
      <c r="D110" s="18"/>
      <c r="E110" s="18"/>
      <c r="F110" s="16"/>
      <c r="G110" s="16" t="str">
        <f t="shared" si="3"/>
        <v/>
      </c>
      <c r="H110" s="16"/>
      <c r="I110" s="9"/>
    </row>
    <row r="111" spans="1:9" x14ac:dyDescent="0.3">
      <c r="A111" s="16"/>
      <c r="B111" s="9"/>
      <c r="C111" s="9" t="str">
        <f>IFERROR(INDEX('Employee Master'!$B$10:$B$109,MATCH(B111,'Employee Master'!$A$10:$A$109,0)),"")</f>
        <v/>
      </c>
      <c r="D111" s="18"/>
      <c r="E111" s="18"/>
      <c r="F111" s="16"/>
      <c r="G111" s="16" t="str">
        <f t="shared" si="3"/>
        <v/>
      </c>
      <c r="H111" s="16"/>
      <c r="I111" s="9"/>
    </row>
    <row r="112" spans="1:9" x14ac:dyDescent="0.3">
      <c r="A112" s="16"/>
      <c r="B112" s="9"/>
      <c r="C112" s="9" t="str">
        <f>IFERROR(INDEX('Employee Master'!$B$10:$B$109,MATCH(B112,'Employee Master'!$A$10:$A$109,0)),"")</f>
        <v/>
      </c>
      <c r="D112" s="18"/>
      <c r="E112" s="18"/>
      <c r="F112" s="16"/>
      <c r="G112" s="16" t="str">
        <f t="shared" si="3"/>
        <v/>
      </c>
      <c r="H112" s="16"/>
      <c r="I112" s="9"/>
    </row>
    <row r="113" spans="1:9" x14ac:dyDescent="0.3">
      <c r="A113" s="16"/>
      <c r="B113" s="9"/>
      <c r="C113" s="9" t="str">
        <f>IFERROR(INDEX('Employee Master'!$B$10:$B$109,MATCH(B113,'Employee Master'!$A$10:$A$109,0)),"")</f>
        <v/>
      </c>
      <c r="D113" s="18"/>
      <c r="E113" s="18"/>
      <c r="F113" s="16"/>
      <c r="G113" s="16" t="str">
        <f t="shared" si="3"/>
        <v/>
      </c>
      <c r="H113" s="16"/>
      <c r="I113" s="9"/>
    </row>
    <row r="114" spans="1:9" x14ac:dyDescent="0.3">
      <c r="A114" s="16"/>
      <c r="B114" s="9"/>
      <c r="C114" s="9" t="str">
        <f>IFERROR(INDEX('Employee Master'!$B$10:$B$109,MATCH(B114,'Employee Master'!$A$10:$A$109,0)),"")</f>
        <v/>
      </c>
      <c r="D114" s="18"/>
      <c r="E114" s="18"/>
      <c r="F114" s="16"/>
      <c r="G114" s="16" t="str">
        <f t="shared" si="3"/>
        <v/>
      </c>
      <c r="H114" s="16"/>
      <c r="I114" s="9"/>
    </row>
    <row r="115" spans="1:9" x14ac:dyDescent="0.3">
      <c r="A115" s="16"/>
      <c r="B115" s="9"/>
      <c r="C115" s="9" t="str">
        <f>IFERROR(INDEX('Employee Master'!$B$10:$B$109,MATCH(B115,'Employee Master'!$A$10:$A$109,0)),"")</f>
        <v/>
      </c>
      <c r="D115" s="18"/>
      <c r="E115" s="18"/>
      <c r="F115" s="16"/>
      <c r="G115" s="16" t="str">
        <f t="shared" si="3"/>
        <v/>
      </c>
      <c r="H115" s="16"/>
      <c r="I115" s="9"/>
    </row>
    <row r="116" spans="1:9" x14ac:dyDescent="0.3">
      <c r="A116" s="16"/>
      <c r="B116" s="9"/>
      <c r="C116" s="9" t="str">
        <f>IFERROR(INDEX('Employee Master'!$B$10:$B$109,MATCH(B116,'Employee Master'!$A$10:$A$109,0)),"")</f>
        <v/>
      </c>
      <c r="D116" s="18"/>
      <c r="E116" s="18"/>
      <c r="F116" s="16"/>
      <c r="G116" s="16" t="str">
        <f t="shared" si="3"/>
        <v/>
      </c>
      <c r="H116" s="16"/>
      <c r="I116" s="9"/>
    </row>
    <row r="117" spans="1:9" x14ac:dyDescent="0.3">
      <c r="A117" s="16"/>
      <c r="B117" s="9"/>
      <c r="C117" s="9" t="str">
        <f>IFERROR(INDEX('Employee Master'!$B$10:$B$109,MATCH(B117,'Employee Master'!$A$10:$A$109,0)),"")</f>
        <v/>
      </c>
      <c r="D117" s="18"/>
      <c r="E117" s="18"/>
      <c r="F117" s="16"/>
      <c r="G117" s="16" t="str">
        <f t="shared" si="3"/>
        <v/>
      </c>
      <c r="H117" s="16"/>
      <c r="I117" s="9"/>
    </row>
    <row r="118" spans="1:9" x14ac:dyDescent="0.3">
      <c r="A118" s="16"/>
      <c r="B118" s="9"/>
      <c r="C118" s="9" t="str">
        <f>IFERROR(INDEX('Employee Master'!$B$10:$B$109,MATCH(B118,'Employee Master'!$A$10:$A$109,0)),"")</f>
        <v/>
      </c>
      <c r="D118" s="18"/>
      <c r="E118" s="18"/>
      <c r="F118" s="16"/>
      <c r="G118" s="16" t="str">
        <f t="shared" si="3"/>
        <v/>
      </c>
      <c r="H118" s="16"/>
      <c r="I118" s="9"/>
    </row>
    <row r="119" spans="1:9" x14ac:dyDescent="0.3">
      <c r="A119" s="16"/>
      <c r="B119" s="9"/>
      <c r="C119" s="9" t="str">
        <f>IFERROR(INDEX('Employee Master'!$B$10:$B$109,MATCH(B119,'Employee Master'!$A$10:$A$109,0)),"")</f>
        <v/>
      </c>
      <c r="D119" s="18"/>
      <c r="E119" s="18"/>
      <c r="F119" s="16"/>
      <c r="G119" s="16" t="str">
        <f t="shared" si="3"/>
        <v/>
      </c>
      <c r="H119" s="16"/>
      <c r="I119" s="9"/>
    </row>
    <row r="120" spans="1:9" x14ac:dyDescent="0.3">
      <c r="A120" s="16"/>
      <c r="B120" s="9"/>
      <c r="C120" s="9" t="str">
        <f>IFERROR(INDEX('Employee Master'!$B$10:$B$109,MATCH(B120,'Employee Master'!$A$10:$A$109,0)),"")</f>
        <v/>
      </c>
      <c r="D120" s="18"/>
      <c r="E120" s="18"/>
      <c r="F120" s="16"/>
      <c r="G120" s="16" t="str">
        <f t="shared" si="3"/>
        <v/>
      </c>
      <c r="H120" s="16"/>
      <c r="I120" s="9"/>
    </row>
    <row r="121" spans="1:9" x14ac:dyDescent="0.3">
      <c r="A121" s="16"/>
      <c r="B121" s="9"/>
      <c r="C121" s="9" t="str">
        <f>IFERROR(INDEX('Employee Master'!$B$10:$B$109,MATCH(B121,'Employee Master'!$A$10:$A$109,0)),"")</f>
        <v/>
      </c>
      <c r="D121" s="18"/>
      <c r="E121" s="18"/>
      <c r="F121" s="16"/>
      <c r="G121" s="16" t="str">
        <f t="shared" si="3"/>
        <v/>
      </c>
      <c r="H121" s="16"/>
      <c r="I121" s="9"/>
    </row>
    <row r="122" spans="1:9" x14ac:dyDescent="0.3">
      <c r="A122" s="16"/>
      <c r="B122" s="9"/>
      <c r="C122" s="9" t="str">
        <f>IFERROR(INDEX('Employee Master'!$B$10:$B$109,MATCH(B122,'Employee Master'!$A$10:$A$109,0)),"")</f>
        <v/>
      </c>
      <c r="D122" s="18"/>
      <c r="E122" s="18"/>
      <c r="F122" s="16"/>
      <c r="G122" s="16" t="str">
        <f t="shared" si="3"/>
        <v/>
      </c>
      <c r="H122" s="16"/>
      <c r="I122" s="9"/>
    </row>
    <row r="123" spans="1:9" x14ac:dyDescent="0.3">
      <c r="A123" s="16"/>
      <c r="B123" s="9"/>
      <c r="C123" s="9" t="str">
        <f>IFERROR(INDEX('Employee Master'!$B$10:$B$109,MATCH(B123,'Employee Master'!$A$10:$A$109,0)),"")</f>
        <v/>
      </c>
      <c r="D123" s="18"/>
      <c r="E123" s="18"/>
      <c r="F123" s="16"/>
      <c r="G123" s="16" t="str">
        <f t="shared" si="3"/>
        <v/>
      </c>
      <c r="H123" s="16"/>
      <c r="I123" s="9"/>
    </row>
    <row r="124" spans="1:9" x14ac:dyDescent="0.3">
      <c r="A124" s="16"/>
      <c r="B124" s="9"/>
      <c r="C124" s="9" t="str">
        <f>IFERROR(INDEX('Employee Master'!$B$10:$B$109,MATCH(B124,'Employee Master'!$A$10:$A$109,0)),"")</f>
        <v/>
      </c>
      <c r="D124" s="18"/>
      <c r="E124" s="18"/>
      <c r="F124" s="16"/>
      <c r="G124" s="16" t="str">
        <f t="shared" si="3"/>
        <v/>
      </c>
      <c r="H124" s="16"/>
      <c r="I124" s="9"/>
    </row>
    <row r="125" spans="1:9" x14ac:dyDescent="0.3">
      <c r="A125" s="16"/>
      <c r="B125" s="9"/>
      <c r="C125" s="9" t="str">
        <f>IFERROR(INDEX('Employee Master'!$B$10:$B$109,MATCH(B125,'Employee Master'!$A$10:$A$109,0)),"")</f>
        <v/>
      </c>
      <c r="D125" s="18"/>
      <c r="E125" s="18"/>
      <c r="F125" s="16"/>
      <c r="G125" s="16" t="str">
        <f t="shared" si="3"/>
        <v/>
      </c>
      <c r="H125" s="16"/>
      <c r="I125" s="9"/>
    </row>
    <row r="126" spans="1:9" x14ac:dyDescent="0.3">
      <c r="A126" s="16"/>
      <c r="B126" s="9"/>
      <c r="C126" s="9" t="str">
        <f>IFERROR(INDEX('Employee Master'!$B$10:$B$109,MATCH(B126,'Employee Master'!$A$10:$A$109,0)),"")</f>
        <v/>
      </c>
      <c r="D126" s="18"/>
      <c r="E126" s="18"/>
      <c r="F126" s="16"/>
      <c r="G126" s="16" t="str">
        <f t="shared" si="3"/>
        <v/>
      </c>
      <c r="H126" s="16"/>
      <c r="I126" s="9"/>
    </row>
    <row r="127" spans="1:9" x14ac:dyDescent="0.3">
      <c r="A127" s="16"/>
      <c r="B127" s="9"/>
      <c r="C127" s="9" t="str">
        <f>IFERROR(INDEX('Employee Master'!$B$10:$B$109,MATCH(B127,'Employee Master'!$A$10:$A$109,0)),"")</f>
        <v/>
      </c>
      <c r="D127" s="18"/>
      <c r="E127" s="18"/>
      <c r="F127" s="16"/>
      <c r="G127" s="16" t="str">
        <f t="shared" si="3"/>
        <v/>
      </c>
      <c r="H127" s="16"/>
      <c r="I127" s="9"/>
    </row>
    <row r="128" spans="1:9" x14ac:dyDescent="0.3">
      <c r="A128" s="16"/>
      <c r="B128" s="9"/>
      <c r="C128" s="9" t="str">
        <f>IFERROR(INDEX('Employee Master'!$B$10:$B$109,MATCH(B128,'Employee Master'!$A$10:$A$109,0)),"")</f>
        <v/>
      </c>
      <c r="D128" s="18"/>
      <c r="E128" s="18"/>
      <c r="F128" s="16"/>
      <c r="G128" s="16" t="str">
        <f t="shared" si="3"/>
        <v/>
      </c>
      <c r="H128" s="16"/>
      <c r="I128" s="9"/>
    </row>
    <row r="129" spans="1:9" x14ac:dyDescent="0.3">
      <c r="A129" s="16"/>
      <c r="B129" s="9"/>
      <c r="C129" s="9" t="str">
        <f>IFERROR(INDEX('Employee Master'!$B$10:$B$109,MATCH(B129,'Employee Master'!$A$10:$A$109,0)),"")</f>
        <v/>
      </c>
      <c r="D129" s="18"/>
      <c r="E129" s="18"/>
      <c r="F129" s="16"/>
      <c r="G129" s="16" t="str">
        <f t="shared" si="3"/>
        <v/>
      </c>
      <c r="H129" s="16"/>
      <c r="I129" s="9"/>
    </row>
    <row r="130" spans="1:9" x14ac:dyDescent="0.3">
      <c r="A130" s="16"/>
      <c r="B130" s="9"/>
      <c r="C130" s="9" t="str">
        <f>IFERROR(INDEX('Employee Master'!$B$10:$B$109,MATCH(B130,'Employee Master'!$A$10:$A$109,0)),"")</f>
        <v/>
      </c>
      <c r="D130" s="18"/>
      <c r="E130" s="18"/>
      <c r="F130" s="16"/>
      <c r="G130" s="16" t="str">
        <f t="shared" si="3"/>
        <v/>
      </c>
      <c r="H130" s="16"/>
      <c r="I130" s="9"/>
    </row>
    <row r="131" spans="1:9" x14ac:dyDescent="0.3">
      <c r="A131" s="16"/>
      <c r="B131" s="9"/>
      <c r="C131" s="9" t="str">
        <f>IFERROR(INDEX('Employee Master'!$B$10:$B$109,MATCH(B131,'Employee Master'!$A$10:$A$109,0)),"")</f>
        <v/>
      </c>
      <c r="D131" s="18"/>
      <c r="E131" s="18"/>
      <c r="F131" s="16"/>
      <c r="G131" s="16" t="str">
        <f t="shared" si="3"/>
        <v/>
      </c>
      <c r="H131" s="16"/>
      <c r="I131" s="9"/>
    </row>
    <row r="132" spans="1:9" x14ac:dyDescent="0.3">
      <c r="A132" s="16"/>
      <c r="B132" s="9"/>
      <c r="C132" s="9" t="str">
        <f>IFERROR(INDEX('Employee Master'!$B$10:$B$109,MATCH(B132,'Employee Master'!$A$10:$A$109,0)),"")</f>
        <v/>
      </c>
      <c r="D132" s="18"/>
      <c r="E132" s="18"/>
      <c r="F132" s="16"/>
      <c r="G132" s="16" t="str">
        <f t="shared" si="3"/>
        <v/>
      </c>
      <c r="H132" s="16"/>
      <c r="I132" s="9"/>
    </row>
    <row r="133" spans="1:9" x14ac:dyDescent="0.3">
      <c r="A133" s="16"/>
      <c r="B133" s="9"/>
      <c r="C133" s="9" t="str">
        <f>IFERROR(INDEX('Employee Master'!$B$10:$B$109,MATCH(B133,'Employee Master'!$A$10:$A$109,0)),"")</f>
        <v/>
      </c>
      <c r="D133" s="18"/>
      <c r="E133" s="18"/>
      <c r="F133" s="16"/>
      <c r="G133" s="16" t="str">
        <f t="shared" si="3"/>
        <v/>
      </c>
      <c r="H133" s="16"/>
      <c r="I133" s="9"/>
    </row>
    <row r="134" spans="1:9" x14ac:dyDescent="0.3">
      <c r="A134" s="16"/>
      <c r="B134" s="9"/>
      <c r="C134" s="9" t="str">
        <f>IFERROR(INDEX('Employee Master'!$B$10:$B$109,MATCH(B134,'Employee Master'!$A$10:$A$109,0)),"")</f>
        <v/>
      </c>
      <c r="D134" s="18"/>
      <c r="E134" s="18"/>
      <c r="F134" s="16"/>
      <c r="G134" s="16" t="str">
        <f t="shared" si="3"/>
        <v/>
      </c>
      <c r="H134" s="16"/>
      <c r="I134" s="9"/>
    </row>
    <row r="135" spans="1:9" x14ac:dyDescent="0.3">
      <c r="A135" s="16"/>
      <c r="B135" s="9"/>
      <c r="C135" s="9" t="str">
        <f>IFERROR(INDEX('Employee Master'!$B$10:$B$109,MATCH(B135,'Employee Master'!$A$10:$A$109,0)),"")</f>
        <v/>
      </c>
      <c r="D135" s="18"/>
      <c r="E135" s="18"/>
      <c r="F135" s="16"/>
      <c r="G135" s="16" t="str">
        <f t="shared" si="3"/>
        <v/>
      </c>
      <c r="H135" s="16"/>
      <c r="I135" s="9"/>
    </row>
    <row r="136" spans="1:9" x14ac:dyDescent="0.3">
      <c r="A136" s="16"/>
      <c r="B136" s="9"/>
      <c r="C136" s="9" t="str">
        <f>IFERROR(INDEX('Employee Master'!$B$10:$B$109,MATCH(B136,'Employee Master'!$A$10:$A$109,0)),"")</f>
        <v/>
      </c>
      <c r="D136" s="18"/>
      <c r="E136" s="18"/>
      <c r="F136" s="16"/>
      <c r="G136" s="16" t="str">
        <f t="shared" si="3"/>
        <v/>
      </c>
      <c r="H136" s="16"/>
      <c r="I136" s="9"/>
    </row>
    <row r="137" spans="1:9" x14ac:dyDescent="0.3">
      <c r="A137" s="16"/>
      <c r="B137" s="9"/>
      <c r="C137" s="9" t="str">
        <f>IFERROR(INDEX('Employee Master'!$B$10:$B$109,MATCH(B137,'Employee Master'!$A$10:$A$109,0)),"")</f>
        <v/>
      </c>
      <c r="D137" s="18"/>
      <c r="E137" s="18"/>
      <c r="F137" s="16"/>
      <c r="G137" s="16" t="str">
        <f t="shared" si="3"/>
        <v/>
      </c>
      <c r="H137" s="16"/>
      <c r="I137" s="9"/>
    </row>
    <row r="138" spans="1:9" x14ac:dyDescent="0.3">
      <c r="A138" s="16"/>
      <c r="B138" s="9"/>
      <c r="C138" s="9" t="str">
        <f>IFERROR(INDEX('Employee Master'!$B$10:$B$109,MATCH(B138,'Employee Master'!$A$10:$A$109,0)),"")</f>
        <v/>
      </c>
      <c r="D138" s="18"/>
      <c r="E138" s="18"/>
      <c r="F138" s="16"/>
      <c r="G138" s="16" t="str">
        <f t="shared" ref="G138:G169" si="4">IF(OR(D138="",E138=""),"",E138-D138+1)</f>
        <v/>
      </c>
      <c r="H138" s="16"/>
      <c r="I138" s="9"/>
    </row>
    <row r="139" spans="1:9" x14ac:dyDescent="0.3">
      <c r="A139" s="16"/>
      <c r="B139" s="9"/>
      <c r="C139" s="9" t="str">
        <f>IFERROR(INDEX('Employee Master'!$B$10:$B$109,MATCH(B139,'Employee Master'!$A$10:$A$109,0)),"")</f>
        <v/>
      </c>
      <c r="D139" s="18"/>
      <c r="E139" s="18"/>
      <c r="F139" s="16"/>
      <c r="G139" s="16" t="str">
        <f t="shared" si="4"/>
        <v/>
      </c>
      <c r="H139" s="16"/>
      <c r="I139" s="9"/>
    </row>
    <row r="140" spans="1:9" x14ac:dyDescent="0.3">
      <c r="A140" s="16"/>
      <c r="B140" s="9"/>
      <c r="C140" s="9" t="str">
        <f>IFERROR(INDEX('Employee Master'!$B$10:$B$109,MATCH(B140,'Employee Master'!$A$10:$A$109,0)),"")</f>
        <v/>
      </c>
      <c r="D140" s="18"/>
      <c r="E140" s="18"/>
      <c r="F140" s="16"/>
      <c r="G140" s="16" t="str">
        <f t="shared" si="4"/>
        <v/>
      </c>
      <c r="H140" s="16"/>
      <c r="I140" s="9"/>
    </row>
    <row r="141" spans="1:9" x14ac:dyDescent="0.3">
      <c r="A141" s="16"/>
      <c r="B141" s="9"/>
      <c r="C141" s="9" t="str">
        <f>IFERROR(INDEX('Employee Master'!$B$10:$B$109,MATCH(B141,'Employee Master'!$A$10:$A$109,0)),"")</f>
        <v/>
      </c>
      <c r="D141" s="18"/>
      <c r="E141" s="18"/>
      <c r="F141" s="16"/>
      <c r="G141" s="16" t="str">
        <f t="shared" si="4"/>
        <v/>
      </c>
      <c r="H141" s="16"/>
      <c r="I141" s="9"/>
    </row>
    <row r="142" spans="1:9" x14ac:dyDescent="0.3">
      <c r="A142" s="16"/>
      <c r="B142" s="9"/>
      <c r="C142" s="9" t="str">
        <f>IFERROR(INDEX('Employee Master'!$B$10:$B$109,MATCH(B142,'Employee Master'!$A$10:$A$109,0)),"")</f>
        <v/>
      </c>
      <c r="D142" s="18"/>
      <c r="E142" s="18"/>
      <c r="F142" s="16"/>
      <c r="G142" s="16" t="str">
        <f t="shared" si="4"/>
        <v/>
      </c>
      <c r="H142" s="16"/>
      <c r="I142" s="9"/>
    </row>
    <row r="143" spans="1:9" x14ac:dyDescent="0.3">
      <c r="A143" s="16"/>
      <c r="B143" s="9"/>
      <c r="C143" s="9" t="str">
        <f>IFERROR(INDEX('Employee Master'!$B$10:$B$109,MATCH(B143,'Employee Master'!$A$10:$A$109,0)),"")</f>
        <v/>
      </c>
      <c r="D143" s="18"/>
      <c r="E143" s="18"/>
      <c r="F143" s="16"/>
      <c r="G143" s="16" t="str">
        <f t="shared" si="4"/>
        <v/>
      </c>
      <c r="H143" s="16"/>
      <c r="I143" s="9"/>
    </row>
    <row r="144" spans="1:9" x14ac:dyDescent="0.3">
      <c r="A144" s="16"/>
      <c r="B144" s="9"/>
      <c r="C144" s="9" t="str">
        <f>IFERROR(INDEX('Employee Master'!$B$10:$B$109,MATCH(B144,'Employee Master'!$A$10:$A$109,0)),"")</f>
        <v/>
      </c>
      <c r="D144" s="18"/>
      <c r="E144" s="18"/>
      <c r="F144" s="16"/>
      <c r="G144" s="16" t="str">
        <f t="shared" si="4"/>
        <v/>
      </c>
      <c r="H144" s="16"/>
      <c r="I144" s="9"/>
    </row>
    <row r="145" spans="1:9" x14ac:dyDescent="0.3">
      <c r="A145" s="16"/>
      <c r="B145" s="9"/>
      <c r="C145" s="9" t="str">
        <f>IFERROR(INDEX('Employee Master'!$B$10:$B$109,MATCH(B145,'Employee Master'!$A$10:$A$109,0)),"")</f>
        <v/>
      </c>
      <c r="D145" s="18"/>
      <c r="E145" s="18"/>
      <c r="F145" s="16"/>
      <c r="G145" s="16" t="str">
        <f t="shared" si="4"/>
        <v/>
      </c>
      <c r="H145" s="16"/>
      <c r="I145" s="9"/>
    </row>
    <row r="146" spans="1:9" x14ac:dyDescent="0.3">
      <c r="A146" s="16"/>
      <c r="B146" s="9"/>
      <c r="C146" s="9" t="str">
        <f>IFERROR(INDEX('Employee Master'!$B$10:$B$109,MATCH(B146,'Employee Master'!$A$10:$A$109,0)),"")</f>
        <v/>
      </c>
      <c r="D146" s="18"/>
      <c r="E146" s="18"/>
      <c r="F146" s="16"/>
      <c r="G146" s="16" t="str">
        <f t="shared" si="4"/>
        <v/>
      </c>
      <c r="H146" s="16"/>
      <c r="I146" s="9"/>
    </row>
    <row r="147" spans="1:9" x14ac:dyDescent="0.3">
      <c r="A147" s="16"/>
      <c r="B147" s="9"/>
      <c r="C147" s="9" t="str">
        <f>IFERROR(INDEX('Employee Master'!$B$10:$B$109,MATCH(B147,'Employee Master'!$A$10:$A$109,0)),"")</f>
        <v/>
      </c>
      <c r="D147" s="18"/>
      <c r="E147" s="18"/>
      <c r="F147" s="16"/>
      <c r="G147" s="16" t="str">
        <f t="shared" si="4"/>
        <v/>
      </c>
      <c r="H147" s="16"/>
      <c r="I147" s="9"/>
    </row>
    <row r="148" spans="1:9" x14ac:dyDescent="0.3">
      <c r="A148" s="16"/>
      <c r="B148" s="9"/>
      <c r="C148" s="9" t="str">
        <f>IFERROR(INDEX('Employee Master'!$B$10:$B$109,MATCH(B148,'Employee Master'!$A$10:$A$109,0)),"")</f>
        <v/>
      </c>
      <c r="D148" s="18"/>
      <c r="E148" s="18"/>
      <c r="F148" s="16"/>
      <c r="G148" s="16" t="str">
        <f t="shared" si="4"/>
        <v/>
      </c>
      <c r="H148" s="16"/>
      <c r="I148" s="9"/>
    </row>
    <row r="149" spans="1:9" x14ac:dyDescent="0.3">
      <c r="A149" s="16"/>
      <c r="B149" s="9"/>
      <c r="C149" s="9" t="str">
        <f>IFERROR(INDEX('Employee Master'!$B$10:$B$109,MATCH(B149,'Employee Master'!$A$10:$A$109,0)),"")</f>
        <v/>
      </c>
      <c r="D149" s="18"/>
      <c r="E149" s="18"/>
      <c r="F149" s="16"/>
      <c r="G149" s="16" t="str">
        <f t="shared" si="4"/>
        <v/>
      </c>
      <c r="H149" s="16"/>
      <c r="I149" s="9"/>
    </row>
    <row r="150" spans="1:9" x14ac:dyDescent="0.3">
      <c r="A150" s="16"/>
      <c r="B150" s="9"/>
      <c r="C150" s="9" t="str">
        <f>IFERROR(INDEX('Employee Master'!$B$10:$B$109,MATCH(B150,'Employee Master'!$A$10:$A$109,0)),"")</f>
        <v/>
      </c>
      <c r="D150" s="18"/>
      <c r="E150" s="18"/>
      <c r="F150" s="16"/>
      <c r="G150" s="16" t="str">
        <f t="shared" si="4"/>
        <v/>
      </c>
      <c r="H150" s="16"/>
      <c r="I150" s="9"/>
    </row>
    <row r="151" spans="1:9" x14ac:dyDescent="0.3">
      <c r="A151" s="16"/>
      <c r="B151" s="9"/>
      <c r="C151" s="9" t="str">
        <f>IFERROR(INDEX('Employee Master'!$B$10:$B$109,MATCH(B151,'Employee Master'!$A$10:$A$109,0)),"")</f>
        <v/>
      </c>
      <c r="D151" s="18"/>
      <c r="E151" s="18"/>
      <c r="F151" s="16"/>
      <c r="G151" s="16" t="str">
        <f t="shared" si="4"/>
        <v/>
      </c>
      <c r="H151" s="16"/>
      <c r="I151" s="9"/>
    </row>
    <row r="152" spans="1:9" x14ac:dyDescent="0.3">
      <c r="A152" s="16"/>
      <c r="B152" s="9"/>
      <c r="C152" s="9" t="str">
        <f>IFERROR(INDEX('Employee Master'!$B$10:$B$109,MATCH(B152,'Employee Master'!$A$10:$A$109,0)),"")</f>
        <v/>
      </c>
      <c r="D152" s="18"/>
      <c r="E152" s="18"/>
      <c r="F152" s="16"/>
      <c r="G152" s="16" t="str">
        <f t="shared" si="4"/>
        <v/>
      </c>
      <c r="H152" s="16"/>
      <c r="I152" s="9"/>
    </row>
    <row r="153" spans="1:9" x14ac:dyDescent="0.3">
      <c r="A153" s="16"/>
      <c r="B153" s="9"/>
      <c r="C153" s="9" t="str">
        <f>IFERROR(INDEX('Employee Master'!$B$10:$B$109,MATCH(B153,'Employee Master'!$A$10:$A$109,0)),"")</f>
        <v/>
      </c>
      <c r="D153" s="18"/>
      <c r="E153" s="18"/>
      <c r="F153" s="16"/>
      <c r="G153" s="16" t="str">
        <f t="shared" si="4"/>
        <v/>
      </c>
      <c r="H153" s="16"/>
      <c r="I153" s="9"/>
    </row>
    <row r="154" spans="1:9" x14ac:dyDescent="0.3">
      <c r="A154" s="16"/>
      <c r="B154" s="9"/>
      <c r="C154" s="9" t="str">
        <f>IFERROR(INDEX('Employee Master'!$B$10:$B$109,MATCH(B154,'Employee Master'!$A$10:$A$109,0)),"")</f>
        <v/>
      </c>
      <c r="D154" s="18"/>
      <c r="E154" s="18"/>
      <c r="F154" s="16"/>
      <c r="G154" s="16" t="str">
        <f t="shared" si="4"/>
        <v/>
      </c>
      <c r="H154" s="16"/>
      <c r="I154" s="9"/>
    </row>
    <row r="155" spans="1:9" x14ac:dyDescent="0.3">
      <c r="A155" s="16"/>
      <c r="B155" s="9"/>
      <c r="C155" s="9" t="str">
        <f>IFERROR(INDEX('Employee Master'!$B$10:$B$109,MATCH(B155,'Employee Master'!$A$10:$A$109,0)),"")</f>
        <v/>
      </c>
      <c r="D155" s="18"/>
      <c r="E155" s="18"/>
      <c r="F155" s="16"/>
      <c r="G155" s="16" t="str">
        <f t="shared" si="4"/>
        <v/>
      </c>
      <c r="H155" s="16"/>
      <c r="I155" s="9"/>
    </row>
    <row r="156" spans="1:9" x14ac:dyDescent="0.3">
      <c r="A156" s="16"/>
      <c r="B156" s="9"/>
      <c r="C156" s="9" t="str">
        <f>IFERROR(INDEX('Employee Master'!$B$10:$B$109,MATCH(B156,'Employee Master'!$A$10:$A$109,0)),"")</f>
        <v/>
      </c>
      <c r="D156" s="18"/>
      <c r="E156" s="18"/>
      <c r="F156" s="16"/>
      <c r="G156" s="16" t="str">
        <f t="shared" si="4"/>
        <v/>
      </c>
      <c r="H156" s="16"/>
      <c r="I156" s="9"/>
    </row>
    <row r="157" spans="1:9" x14ac:dyDescent="0.3">
      <c r="A157" s="16"/>
      <c r="B157" s="9"/>
      <c r="C157" s="9" t="str">
        <f>IFERROR(INDEX('Employee Master'!$B$10:$B$109,MATCH(B157,'Employee Master'!$A$10:$A$109,0)),"")</f>
        <v/>
      </c>
      <c r="D157" s="18"/>
      <c r="E157" s="18"/>
      <c r="F157" s="16"/>
      <c r="G157" s="16" t="str">
        <f t="shared" si="4"/>
        <v/>
      </c>
      <c r="H157" s="16"/>
      <c r="I157" s="9"/>
    </row>
    <row r="158" spans="1:9" x14ac:dyDescent="0.3">
      <c r="A158" s="16"/>
      <c r="B158" s="9"/>
      <c r="C158" s="9" t="str">
        <f>IFERROR(INDEX('Employee Master'!$B$10:$B$109,MATCH(B158,'Employee Master'!$A$10:$A$109,0)),"")</f>
        <v/>
      </c>
      <c r="D158" s="18"/>
      <c r="E158" s="18"/>
      <c r="F158" s="16"/>
      <c r="G158" s="16" t="str">
        <f t="shared" si="4"/>
        <v/>
      </c>
      <c r="H158" s="16"/>
      <c r="I158" s="9"/>
    </row>
    <row r="159" spans="1:9" x14ac:dyDescent="0.3">
      <c r="A159" s="16"/>
      <c r="B159" s="9"/>
      <c r="C159" s="9" t="str">
        <f>IFERROR(INDEX('Employee Master'!$B$10:$B$109,MATCH(B159,'Employee Master'!$A$10:$A$109,0)),"")</f>
        <v/>
      </c>
      <c r="D159" s="18"/>
      <c r="E159" s="18"/>
      <c r="F159" s="16"/>
      <c r="G159" s="16" t="str">
        <f t="shared" si="4"/>
        <v/>
      </c>
      <c r="H159" s="16"/>
      <c r="I159" s="9"/>
    </row>
    <row r="160" spans="1:9" x14ac:dyDescent="0.3">
      <c r="A160" s="16"/>
      <c r="B160" s="9"/>
      <c r="C160" s="9" t="str">
        <f>IFERROR(INDEX('Employee Master'!$B$10:$B$109,MATCH(B160,'Employee Master'!$A$10:$A$109,0)),"")</f>
        <v/>
      </c>
      <c r="D160" s="18"/>
      <c r="E160" s="18"/>
      <c r="F160" s="16"/>
      <c r="G160" s="16" t="str">
        <f t="shared" si="4"/>
        <v/>
      </c>
      <c r="H160" s="16"/>
      <c r="I160" s="9"/>
    </row>
    <row r="161" spans="1:9" x14ac:dyDescent="0.3">
      <c r="A161" s="16"/>
      <c r="B161" s="9"/>
      <c r="C161" s="9" t="str">
        <f>IFERROR(INDEX('Employee Master'!$B$10:$B$109,MATCH(B161,'Employee Master'!$A$10:$A$109,0)),"")</f>
        <v/>
      </c>
      <c r="D161" s="18"/>
      <c r="E161" s="18"/>
      <c r="F161" s="16"/>
      <c r="G161" s="16" t="str">
        <f t="shared" si="4"/>
        <v/>
      </c>
      <c r="H161" s="16"/>
      <c r="I161" s="9"/>
    </row>
    <row r="162" spans="1:9" x14ac:dyDescent="0.3">
      <c r="A162" s="16"/>
      <c r="B162" s="9"/>
      <c r="C162" s="9" t="str">
        <f>IFERROR(INDEX('Employee Master'!$B$10:$B$109,MATCH(B162,'Employee Master'!$A$10:$A$109,0)),"")</f>
        <v/>
      </c>
      <c r="D162" s="18"/>
      <c r="E162" s="18"/>
      <c r="F162" s="16"/>
      <c r="G162" s="16" t="str">
        <f t="shared" si="4"/>
        <v/>
      </c>
      <c r="H162" s="16"/>
      <c r="I162" s="9"/>
    </row>
    <row r="163" spans="1:9" x14ac:dyDescent="0.3">
      <c r="A163" s="16"/>
      <c r="B163" s="9"/>
      <c r="C163" s="9" t="str">
        <f>IFERROR(INDEX('Employee Master'!$B$10:$B$109,MATCH(B163,'Employee Master'!$A$10:$A$109,0)),"")</f>
        <v/>
      </c>
      <c r="D163" s="18"/>
      <c r="E163" s="18"/>
      <c r="F163" s="16"/>
      <c r="G163" s="16" t="str">
        <f t="shared" si="4"/>
        <v/>
      </c>
      <c r="H163" s="16"/>
      <c r="I163" s="9"/>
    </row>
    <row r="164" spans="1:9" x14ac:dyDescent="0.3">
      <c r="A164" s="16"/>
      <c r="B164" s="9"/>
      <c r="C164" s="9" t="str">
        <f>IFERROR(INDEX('Employee Master'!$B$10:$B$109,MATCH(B164,'Employee Master'!$A$10:$A$109,0)),"")</f>
        <v/>
      </c>
      <c r="D164" s="18"/>
      <c r="E164" s="18"/>
      <c r="F164" s="16"/>
      <c r="G164" s="16" t="str">
        <f t="shared" si="4"/>
        <v/>
      </c>
      <c r="H164" s="16"/>
      <c r="I164" s="9"/>
    </row>
    <row r="165" spans="1:9" x14ac:dyDescent="0.3">
      <c r="A165" s="16"/>
      <c r="B165" s="9"/>
      <c r="C165" s="9" t="str">
        <f>IFERROR(INDEX('Employee Master'!$B$10:$B$109,MATCH(B165,'Employee Master'!$A$10:$A$109,0)),"")</f>
        <v/>
      </c>
      <c r="D165" s="18"/>
      <c r="E165" s="18"/>
      <c r="F165" s="16"/>
      <c r="G165" s="16" t="str">
        <f t="shared" si="4"/>
        <v/>
      </c>
      <c r="H165" s="16"/>
      <c r="I165" s="9"/>
    </row>
    <row r="166" spans="1:9" x14ac:dyDescent="0.3">
      <c r="A166" s="16"/>
      <c r="B166" s="9"/>
      <c r="C166" s="9" t="str">
        <f>IFERROR(INDEX('Employee Master'!$B$10:$B$109,MATCH(B166,'Employee Master'!$A$10:$A$109,0)),"")</f>
        <v/>
      </c>
      <c r="D166" s="18"/>
      <c r="E166" s="18"/>
      <c r="F166" s="16"/>
      <c r="G166" s="16" t="str">
        <f t="shared" si="4"/>
        <v/>
      </c>
      <c r="H166" s="16"/>
      <c r="I166" s="9"/>
    </row>
    <row r="167" spans="1:9" x14ac:dyDescent="0.3">
      <c r="A167" s="16"/>
      <c r="B167" s="9"/>
      <c r="C167" s="9" t="str">
        <f>IFERROR(INDEX('Employee Master'!$B$10:$B$109,MATCH(B167,'Employee Master'!$A$10:$A$109,0)),"")</f>
        <v/>
      </c>
      <c r="D167" s="18"/>
      <c r="E167" s="18"/>
      <c r="F167" s="16"/>
      <c r="G167" s="16" t="str">
        <f t="shared" si="4"/>
        <v/>
      </c>
      <c r="H167" s="16"/>
      <c r="I167" s="9"/>
    </row>
    <row r="168" spans="1:9" x14ac:dyDescent="0.3">
      <c r="A168" s="16"/>
      <c r="B168" s="9"/>
      <c r="C168" s="9" t="str">
        <f>IFERROR(INDEX('Employee Master'!$B$10:$B$109,MATCH(B168,'Employee Master'!$A$10:$A$109,0)),"")</f>
        <v/>
      </c>
      <c r="D168" s="18"/>
      <c r="E168" s="18"/>
      <c r="F168" s="16"/>
      <c r="G168" s="16" t="str">
        <f t="shared" si="4"/>
        <v/>
      </c>
      <c r="H168" s="16"/>
      <c r="I168" s="9"/>
    </row>
    <row r="169" spans="1:9" x14ac:dyDescent="0.3">
      <c r="A169" s="16"/>
      <c r="B169" s="9"/>
      <c r="C169" s="9" t="str">
        <f>IFERROR(INDEX('Employee Master'!$B$10:$B$109,MATCH(B169,'Employee Master'!$A$10:$A$109,0)),"")</f>
        <v/>
      </c>
      <c r="D169" s="18"/>
      <c r="E169" s="18"/>
      <c r="F169" s="16"/>
      <c r="G169" s="16" t="str">
        <f t="shared" si="4"/>
        <v/>
      </c>
      <c r="H169" s="16"/>
      <c r="I169" s="9"/>
    </row>
    <row r="170" spans="1:9" x14ac:dyDescent="0.3">
      <c r="A170" s="16"/>
      <c r="B170" s="9"/>
      <c r="C170" s="9" t="str">
        <f>IFERROR(INDEX('Employee Master'!$B$10:$B$109,MATCH(B170,'Employee Master'!$A$10:$A$109,0)),"")</f>
        <v/>
      </c>
      <c r="D170" s="18"/>
      <c r="E170" s="18"/>
      <c r="F170" s="16"/>
      <c r="G170" s="16" t="str">
        <f t="shared" ref="G170:G201" si="5">IF(OR(D170="",E170=""),"",E170-D170+1)</f>
        <v/>
      </c>
      <c r="H170" s="16"/>
      <c r="I170" s="9"/>
    </row>
    <row r="171" spans="1:9" x14ac:dyDescent="0.3">
      <c r="A171" s="16"/>
      <c r="B171" s="9"/>
      <c r="C171" s="9" t="str">
        <f>IFERROR(INDEX('Employee Master'!$B$10:$B$109,MATCH(B171,'Employee Master'!$A$10:$A$109,0)),"")</f>
        <v/>
      </c>
      <c r="D171" s="18"/>
      <c r="E171" s="18"/>
      <c r="F171" s="16"/>
      <c r="G171" s="16" t="str">
        <f t="shared" si="5"/>
        <v/>
      </c>
      <c r="H171" s="16"/>
      <c r="I171" s="9"/>
    </row>
    <row r="172" spans="1:9" x14ac:dyDescent="0.3">
      <c r="A172" s="16"/>
      <c r="B172" s="9"/>
      <c r="C172" s="9" t="str">
        <f>IFERROR(INDEX('Employee Master'!$B$10:$B$109,MATCH(B172,'Employee Master'!$A$10:$A$109,0)),"")</f>
        <v/>
      </c>
      <c r="D172" s="18"/>
      <c r="E172" s="18"/>
      <c r="F172" s="16"/>
      <c r="G172" s="16" t="str">
        <f t="shared" si="5"/>
        <v/>
      </c>
      <c r="H172" s="16"/>
      <c r="I172" s="9"/>
    </row>
    <row r="173" spans="1:9" x14ac:dyDescent="0.3">
      <c r="A173" s="16"/>
      <c r="B173" s="9"/>
      <c r="C173" s="9" t="str">
        <f>IFERROR(INDEX('Employee Master'!$B$10:$B$109,MATCH(B173,'Employee Master'!$A$10:$A$109,0)),"")</f>
        <v/>
      </c>
      <c r="D173" s="18"/>
      <c r="E173" s="18"/>
      <c r="F173" s="16"/>
      <c r="G173" s="16" t="str">
        <f t="shared" si="5"/>
        <v/>
      </c>
      <c r="H173" s="16"/>
      <c r="I173" s="9"/>
    </row>
    <row r="174" spans="1:9" x14ac:dyDescent="0.3">
      <c r="A174" s="16"/>
      <c r="B174" s="9"/>
      <c r="C174" s="9" t="str">
        <f>IFERROR(INDEX('Employee Master'!$B$10:$B$109,MATCH(B174,'Employee Master'!$A$10:$A$109,0)),"")</f>
        <v/>
      </c>
      <c r="D174" s="18"/>
      <c r="E174" s="18"/>
      <c r="F174" s="16"/>
      <c r="G174" s="16" t="str">
        <f t="shared" si="5"/>
        <v/>
      </c>
      <c r="H174" s="16"/>
      <c r="I174" s="9"/>
    </row>
    <row r="175" spans="1:9" x14ac:dyDescent="0.3">
      <c r="A175" s="16"/>
      <c r="B175" s="9"/>
      <c r="C175" s="9" t="str">
        <f>IFERROR(INDEX('Employee Master'!$B$10:$B$109,MATCH(B175,'Employee Master'!$A$10:$A$109,0)),"")</f>
        <v/>
      </c>
      <c r="D175" s="18"/>
      <c r="E175" s="18"/>
      <c r="F175" s="16"/>
      <c r="G175" s="16" t="str">
        <f t="shared" si="5"/>
        <v/>
      </c>
      <c r="H175" s="16"/>
      <c r="I175" s="9"/>
    </row>
    <row r="176" spans="1:9" x14ac:dyDescent="0.3">
      <c r="A176" s="16"/>
      <c r="B176" s="9"/>
      <c r="C176" s="9" t="str">
        <f>IFERROR(INDEX('Employee Master'!$B$10:$B$109,MATCH(B176,'Employee Master'!$A$10:$A$109,0)),"")</f>
        <v/>
      </c>
      <c r="D176" s="18"/>
      <c r="E176" s="18"/>
      <c r="F176" s="16"/>
      <c r="G176" s="16" t="str">
        <f t="shared" si="5"/>
        <v/>
      </c>
      <c r="H176" s="16"/>
      <c r="I176" s="9"/>
    </row>
    <row r="177" spans="1:9" x14ac:dyDescent="0.3">
      <c r="A177" s="16"/>
      <c r="B177" s="9"/>
      <c r="C177" s="9" t="str">
        <f>IFERROR(INDEX('Employee Master'!$B$10:$B$109,MATCH(B177,'Employee Master'!$A$10:$A$109,0)),"")</f>
        <v/>
      </c>
      <c r="D177" s="18"/>
      <c r="E177" s="18"/>
      <c r="F177" s="16"/>
      <c r="G177" s="16" t="str">
        <f t="shared" si="5"/>
        <v/>
      </c>
      <c r="H177" s="16"/>
      <c r="I177" s="9"/>
    </row>
    <row r="178" spans="1:9" x14ac:dyDescent="0.3">
      <c r="A178" s="16"/>
      <c r="B178" s="9"/>
      <c r="C178" s="9" t="str">
        <f>IFERROR(INDEX('Employee Master'!$B$10:$B$109,MATCH(B178,'Employee Master'!$A$10:$A$109,0)),"")</f>
        <v/>
      </c>
      <c r="D178" s="18"/>
      <c r="E178" s="18"/>
      <c r="F178" s="16"/>
      <c r="G178" s="16" t="str">
        <f t="shared" si="5"/>
        <v/>
      </c>
      <c r="H178" s="16"/>
      <c r="I178" s="9"/>
    </row>
    <row r="179" spans="1:9" x14ac:dyDescent="0.3">
      <c r="A179" s="16"/>
      <c r="B179" s="9"/>
      <c r="C179" s="9" t="str">
        <f>IFERROR(INDEX('Employee Master'!$B$10:$B$109,MATCH(B179,'Employee Master'!$A$10:$A$109,0)),"")</f>
        <v/>
      </c>
      <c r="D179" s="18"/>
      <c r="E179" s="18"/>
      <c r="F179" s="16"/>
      <c r="G179" s="16" t="str">
        <f t="shared" si="5"/>
        <v/>
      </c>
      <c r="H179" s="16"/>
      <c r="I179" s="9"/>
    </row>
    <row r="180" spans="1:9" x14ac:dyDescent="0.3">
      <c r="A180" s="16"/>
      <c r="B180" s="9"/>
      <c r="C180" s="9" t="str">
        <f>IFERROR(INDEX('Employee Master'!$B$10:$B$109,MATCH(B180,'Employee Master'!$A$10:$A$109,0)),"")</f>
        <v/>
      </c>
      <c r="D180" s="18"/>
      <c r="E180" s="18"/>
      <c r="F180" s="16"/>
      <c r="G180" s="16" t="str">
        <f t="shared" si="5"/>
        <v/>
      </c>
      <c r="H180" s="16"/>
      <c r="I180" s="9"/>
    </row>
    <row r="181" spans="1:9" x14ac:dyDescent="0.3">
      <c r="A181" s="16"/>
      <c r="B181" s="9"/>
      <c r="C181" s="9" t="str">
        <f>IFERROR(INDEX('Employee Master'!$B$10:$B$109,MATCH(B181,'Employee Master'!$A$10:$A$109,0)),"")</f>
        <v/>
      </c>
      <c r="D181" s="18"/>
      <c r="E181" s="18"/>
      <c r="F181" s="16"/>
      <c r="G181" s="16" t="str">
        <f t="shared" si="5"/>
        <v/>
      </c>
      <c r="H181" s="16"/>
      <c r="I181" s="9"/>
    </row>
    <row r="182" spans="1:9" x14ac:dyDescent="0.3">
      <c r="A182" s="16"/>
      <c r="B182" s="9"/>
      <c r="C182" s="9" t="str">
        <f>IFERROR(INDEX('Employee Master'!$B$10:$B$109,MATCH(B182,'Employee Master'!$A$10:$A$109,0)),"")</f>
        <v/>
      </c>
      <c r="D182" s="18"/>
      <c r="E182" s="18"/>
      <c r="F182" s="16"/>
      <c r="G182" s="16" t="str">
        <f t="shared" si="5"/>
        <v/>
      </c>
      <c r="H182" s="16"/>
      <c r="I182" s="9"/>
    </row>
    <row r="183" spans="1:9" x14ac:dyDescent="0.3">
      <c r="A183" s="16"/>
      <c r="B183" s="9"/>
      <c r="C183" s="9" t="str">
        <f>IFERROR(INDEX('Employee Master'!$B$10:$B$109,MATCH(B183,'Employee Master'!$A$10:$A$109,0)),"")</f>
        <v/>
      </c>
      <c r="D183" s="18"/>
      <c r="E183" s="18"/>
      <c r="F183" s="16"/>
      <c r="G183" s="16" t="str">
        <f t="shared" si="5"/>
        <v/>
      </c>
      <c r="H183" s="16"/>
      <c r="I183" s="9"/>
    </row>
    <row r="184" spans="1:9" x14ac:dyDescent="0.3">
      <c r="A184" s="16"/>
      <c r="B184" s="9"/>
      <c r="C184" s="9" t="str">
        <f>IFERROR(INDEX('Employee Master'!$B$10:$B$109,MATCH(B184,'Employee Master'!$A$10:$A$109,0)),"")</f>
        <v/>
      </c>
      <c r="D184" s="18"/>
      <c r="E184" s="18"/>
      <c r="F184" s="16"/>
      <c r="G184" s="16" t="str">
        <f t="shared" si="5"/>
        <v/>
      </c>
      <c r="H184" s="16"/>
      <c r="I184" s="9"/>
    </row>
    <row r="185" spans="1:9" x14ac:dyDescent="0.3">
      <c r="A185" s="16"/>
      <c r="B185" s="9"/>
      <c r="C185" s="9" t="str">
        <f>IFERROR(INDEX('Employee Master'!$B$10:$B$109,MATCH(B185,'Employee Master'!$A$10:$A$109,0)),"")</f>
        <v/>
      </c>
      <c r="D185" s="18"/>
      <c r="E185" s="18"/>
      <c r="F185" s="16"/>
      <c r="G185" s="16" t="str">
        <f t="shared" si="5"/>
        <v/>
      </c>
      <c r="H185" s="16"/>
      <c r="I185" s="9"/>
    </row>
    <row r="186" spans="1:9" x14ac:dyDescent="0.3">
      <c r="A186" s="16"/>
      <c r="B186" s="9"/>
      <c r="C186" s="9" t="str">
        <f>IFERROR(INDEX('Employee Master'!$B$10:$B$109,MATCH(B186,'Employee Master'!$A$10:$A$109,0)),"")</f>
        <v/>
      </c>
      <c r="D186" s="18"/>
      <c r="E186" s="18"/>
      <c r="F186" s="16"/>
      <c r="G186" s="16" t="str">
        <f t="shared" si="5"/>
        <v/>
      </c>
      <c r="H186" s="16"/>
      <c r="I186" s="9"/>
    </row>
    <row r="187" spans="1:9" x14ac:dyDescent="0.3">
      <c r="A187" s="16"/>
      <c r="B187" s="9"/>
      <c r="C187" s="9" t="str">
        <f>IFERROR(INDEX('Employee Master'!$B$10:$B$109,MATCH(B187,'Employee Master'!$A$10:$A$109,0)),"")</f>
        <v/>
      </c>
      <c r="D187" s="18"/>
      <c r="E187" s="18"/>
      <c r="F187" s="16"/>
      <c r="G187" s="16" t="str">
        <f t="shared" si="5"/>
        <v/>
      </c>
      <c r="H187" s="16"/>
      <c r="I187" s="9"/>
    </row>
    <row r="188" spans="1:9" x14ac:dyDescent="0.3">
      <c r="A188" s="16"/>
      <c r="B188" s="9"/>
      <c r="C188" s="9" t="str">
        <f>IFERROR(INDEX('Employee Master'!$B$10:$B$109,MATCH(B188,'Employee Master'!$A$10:$A$109,0)),"")</f>
        <v/>
      </c>
      <c r="D188" s="18"/>
      <c r="E188" s="18"/>
      <c r="F188" s="16"/>
      <c r="G188" s="16" t="str">
        <f t="shared" si="5"/>
        <v/>
      </c>
      <c r="H188" s="16"/>
      <c r="I188" s="9"/>
    </row>
    <row r="189" spans="1:9" x14ac:dyDescent="0.3">
      <c r="A189" s="16"/>
      <c r="B189" s="9"/>
      <c r="C189" s="9" t="str">
        <f>IFERROR(INDEX('Employee Master'!$B$10:$B$109,MATCH(B189,'Employee Master'!$A$10:$A$109,0)),"")</f>
        <v/>
      </c>
      <c r="D189" s="18"/>
      <c r="E189" s="18"/>
      <c r="F189" s="16"/>
      <c r="G189" s="16" t="str">
        <f t="shared" si="5"/>
        <v/>
      </c>
      <c r="H189" s="16"/>
      <c r="I189" s="9"/>
    </row>
    <row r="190" spans="1:9" x14ac:dyDescent="0.3">
      <c r="A190" s="16"/>
      <c r="B190" s="9"/>
      <c r="C190" s="9" t="str">
        <f>IFERROR(INDEX('Employee Master'!$B$10:$B$109,MATCH(B190,'Employee Master'!$A$10:$A$109,0)),"")</f>
        <v/>
      </c>
      <c r="D190" s="18"/>
      <c r="E190" s="18"/>
      <c r="F190" s="16"/>
      <c r="G190" s="16" t="str">
        <f t="shared" si="5"/>
        <v/>
      </c>
      <c r="H190" s="16"/>
      <c r="I190" s="9"/>
    </row>
    <row r="191" spans="1:9" x14ac:dyDescent="0.3">
      <c r="A191" s="16"/>
      <c r="B191" s="9"/>
      <c r="C191" s="9" t="str">
        <f>IFERROR(INDEX('Employee Master'!$B$10:$B$109,MATCH(B191,'Employee Master'!$A$10:$A$109,0)),"")</f>
        <v/>
      </c>
      <c r="D191" s="18"/>
      <c r="E191" s="18"/>
      <c r="F191" s="16"/>
      <c r="G191" s="16" t="str">
        <f t="shared" si="5"/>
        <v/>
      </c>
      <c r="H191" s="16"/>
      <c r="I191" s="9"/>
    </row>
    <row r="192" spans="1:9" x14ac:dyDescent="0.3">
      <c r="A192" s="16"/>
      <c r="B192" s="9"/>
      <c r="C192" s="9" t="str">
        <f>IFERROR(INDEX('Employee Master'!$B$10:$B$109,MATCH(B192,'Employee Master'!$A$10:$A$109,0)),"")</f>
        <v/>
      </c>
      <c r="D192" s="18"/>
      <c r="E192" s="18"/>
      <c r="F192" s="16"/>
      <c r="G192" s="16" t="str">
        <f t="shared" si="5"/>
        <v/>
      </c>
      <c r="H192" s="16"/>
      <c r="I192" s="9"/>
    </row>
    <row r="193" spans="1:9" x14ac:dyDescent="0.3">
      <c r="A193" s="16"/>
      <c r="B193" s="9"/>
      <c r="C193" s="9" t="str">
        <f>IFERROR(INDEX('Employee Master'!$B$10:$B$109,MATCH(B193,'Employee Master'!$A$10:$A$109,0)),"")</f>
        <v/>
      </c>
      <c r="D193" s="18"/>
      <c r="E193" s="18"/>
      <c r="F193" s="16"/>
      <c r="G193" s="16" t="str">
        <f t="shared" si="5"/>
        <v/>
      </c>
      <c r="H193" s="16"/>
      <c r="I193" s="9"/>
    </row>
    <row r="194" spans="1:9" x14ac:dyDescent="0.3">
      <c r="A194" s="16"/>
      <c r="B194" s="9"/>
      <c r="C194" s="9" t="str">
        <f>IFERROR(INDEX('Employee Master'!$B$10:$B$109,MATCH(B194,'Employee Master'!$A$10:$A$109,0)),"")</f>
        <v/>
      </c>
      <c r="D194" s="18"/>
      <c r="E194" s="18"/>
      <c r="F194" s="16"/>
      <c r="G194" s="16" t="str">
        <f t="shared" si="5"/>
        <v/>
      </c>
      <c r="H194" s="16"/>
      <c r="I194" s="9"/>
    </row>
    <row r="195" spans="1:9" x14ac:dyDescent="0.3">
      <c r="A195" s="16"/>
      <c r="B195" s="9"/>
      <c r="C195" s="9" t="str">
        <f>IFERROR(INDEX('Employee Master'!$B$10:$B$109,MATCH(B195,'Employee Master'!$A$10:$A$109,0)),"")</f>
        <v/>
      </c>
      <c r="D195" s="18"/>
      <c r="E195" s="18"/>
      <c r="F195" s="16"/>
      <c r="G195" s="16" t="str">
        <f t="shared" si="5"/>
        <v/>
      </c>
      <c r="H195" s="16"/>
      <c r="I195" s="9"/>
    </row>
    <row r="196" spans="1:9" x14ac:dyDescent="0.3">
      <c r="A196" s="16"/>
      <c r="B196" s="9"/>
      <c r="C196" s="9" t="str">
        <f>IFERROR(INDEX('Employee Master'!$B$10:$B$109,MATCH(B196,'Employee Master'!$A$10:$A$109,0)),"")</f>
        <v/>
      </c>
      <c r="D196" s="18"/>
      <c r="E196" s="18"/>
      <c r="F196" s="16"/>
      <c r="G196" s="16" t="str">
        <f t="shared" si="5"/>
        <v/>
      </c>
      <c r="H196" s="16"/>
      <c r="I196" s="9"/>
    </row>
    <row r="197" spans="1:9" x14ac:dyDescent="0.3">
      <c r="A197" s="16"/>
      <c r="B197" s="9"/>
      <c r="C197" s="9" t="str">
        <f>IFERROR(INDEX('Employee Master'!$B$10:$B$109,MATCH(B197,'Employee Master'!$A$10:$A$109,0)),"")</f>
        <v/>
      </c>
      <c r="D197" s="18"/>
      <c r="E197" s="18"/>
      <c r="F197" s="16"/>
      <c r="G197" s="16" t="str">
        <f t="shared" si="5"/>
        <v/>
      </c>
      <c r="H197" s="16"/>
      <c r="I197" s="9"/>
    </row>
    <row r="198" spans="1:9" x14ac:dyDescent="0.3">
      <c r="A198" s="16"/>
      <c r="B198" s="9"/>
      <c r="C198" s="9" t="str">
        <f>IFERROR(INDEX('Employee Master'!$B$10:$B$109,MATCH(B198,'Employee Master'!$A$10:$A$109,0)),"")</f>
        <v/>
      </c>
      <c r="D198" s="18"/>
      <c r="E198" s="18"/>
      <c r="F198" s="16"/>
      <c r="G198" s="16" t="str">
        <f t="shared" si="5"/>
        <v/>
      </c>
      <c r="H198" s="16"/>
      <c r="I198" s="9"/>
    </row>
    <row r="199" spans="1:9" x14ac:dyDescent="0.3">
      <c r="A199" s="16"/>
      <c r="B199" s="9"/>
      <c r="C199" s="9" t="str">
        <f>IFERROR(INDEX('Employee Master'!$B$10:$B$109,MATCH(B199,'Employee Master'!$A$10:$A$109,0)),"")</f>
        <v/>
      </c>
      <c r="D199" s="18"/>
      <c r="E199" s="18"/>
      <c r="F199" s="16"/>
      <c r="G199" s="16" t="str">
        <f t="shared" si="5"/>
        <v/>
      </c>
      <c r="H199" s="16"/>
      <c r="I199" s="9"/>
    </row>
    <row r="200" spans="1:9" x14ac:dyDescent="0.3">
      <c r="A200" s="16"/>
      <c r="B200" s="9"/>
      <c r="C200" s="9" t="str">
        <f>IFERROR(INDEX('Employee Master'!$B$10:$B$109,MATCH(B200,'Employee Master'!$A$10:$A$109,0)),"")</f>
        <v/>
      </c>
      <c r="D200" s="18"/>
      <c r="E200" s="18"/>
      <c r="F200" s="16"/>
      <c r="G200" s="16" t="str">
        <f t="shared" si="5"/>
        <v/>
      </c>
      <c r="H200" s="16"/>
      <c r="I200" s="9"/>
    </row>
    <row r="201" spans="1:9" x14ac:dyDescent="0.3">
      <c r="A201" s="16"/>
      <c r="B201" s="9"/>
      <c r="C201" s="9" t="str">
        <f>IFERROR(INDEX('Employee Master'!$B$10:$B$109,MATCH(B201,'Employee Master'!$A$10:$A$109,0)),"")</f>
        <v/>
      </c>
      <c r="D201" s="18"/>
      <c r="E201" s="18"/>
      <c r="F201" s="16"/>
      <c r="G201" s="16" t="str">
        <f t="shared" si="5"/>
        <v/>
      </c>
      <c r="H201" s="16"/>
      <c r="I201" s="9"/>
    </row>
    <row r="202" spans="1:9" x14ac:dyDescent="0.3">
      <c r="A202" s="16"/>
      <c r="B202" s="9"/>
      <c r="C202" s="9" t="str">
        <f>IFERROR(INDEX('Employee Master'!$B$10:$B$109,MATCH(B202,'Employee Master'!$A$10:$A$109,0)),"")</f>
        <v/>
      </c>
      <c r="D202" s="18"/>
      <c r="E202" s="18"/>
      <c r="F202" s="16"/>
      <c r="G202" s="16" t="str">
        <f t="shared" ref="G202:G209" si="6">IF(OR(D202="",E202=""),"",E202-D202+1)</f>
        <v/>
      </c>
      <c r="H202" s="16"/>
      <c r="I202" s="9"/>
    </row>
    <row r="203" spans="1:9" x14ac:dyDescent="0.3">
      <c r="A203" s="16"/>
      <c r="B203" s="9"/>
      <c r="C203" s="9" t="str">
        <f>IFERROR(INDEX('Employee Master'!$B$10:$B$109,MATCH(B203,'Employee Master'!$A$10:$A$109,0)),"")</f>
        <v/>
      </c>
      <c r="D203" s="18"/>
      <c r="E203" s="18"/>
      <c r="F203" s="16"/>
      <c r="G203" s="16" t="str">
        <f t="shared" si="6"/>
        <v/>
      </c>
      <c r="H203" s="16"/>
      <c r="I203" s="9"/>
    </row>
    <row r="204" spans="1:9" x14ac:dyDescent="0.3">
      <c r="A204" s="16"/>
      <c r="B204" s="9"/>
      <c r="C204" s="9" t="str">
        <f>IFERROR(INDEX('Employee Master'!$B$10:$B$109,MATCH(B204,'Employee Master'!$A$10:$A$109,0)),"")</f>
        <v/>
      </c>
      <c r="D204" s="18"/>
      <c r="E204" s="18"/>
      <c r="F204" s="16"/>
      <c r="G204" s="16" t="str">
        <f t="shared" si="6"/>
        <v/>
      </c>
      <c r="H204" s="16"/>
      <c r="I204" s="9"/>
    </row>
    <row r="205" spans="1:9" x14ac:dyDescent="0.3">
      <c r="A205" s="16"/>
      <c r="B205" s="9"/>
      <c r="C205" s="9" t="str">
        <f>IFERROR(INDEX('Employee Master'!$B$10:$B$109,MATCH(B205,'Employee Master'!$A$10:$A$109,0)),"")</f>
        <v/>
      </c>
      <c r="D205" s="18"/>
      <c r="E205" s="18"/>
      <c r="F205" s="16"/>
      <c r="G205" s="16" t="str">
        <f t="shared" si="6"/>
        <v/>
      </c>
      <c r="H205" s="16"/>
      <c r="I205" s="9"/>
    </row>
    <row r="206" spans="1:9" x14ac:dyDescent="0.3">
      <c r="A206" s="16"/>
      <c r="B206" s="9"/>
      <c r="C206" s="9" t="str">
        <f>IFERROR(INDEX('Employee Master'!$B$10:$B$109,MATCH(B206,'Employee Master'!$A$10:$A$109,0)),"")</f>
        <v/>
      </c>
      <c r="D206" s="18"/>
      <c r="E206" s="18"/>
      <c r="F206" s="16"/>
      <c r="G206" s="16" t="str">
        <f t="shared" si="6"/>
        <v/>
      </c>
      <c r="H206" s="16"/>
      <c r="I206" s="9"/>
    </row>
    <row r="207" spans="1:9" x14ac:dyDescent="0.3">
      <c r="A207" s="16"/>
      <c r="B207" s="9"/>
      <c r="C207" s="9" t="str">
        <f>IFERROR(INDEX('Employee Master'!$B$10:$B$109,MATCH(B207,'Employee Master'!$A$10:$A$109,0)),"")</f>
        <v/>
      </c>
      <c r="D207" s="18"/>
      <c r="E207" s="18"/>
      <c r="F207" s="16"/>
      <c r="G207" s="16" t="str">
        <f t="shared" si="6"/>
        <v/>
      </c>
      <c r="H207" s="16"/>
      <c r="I207" s="9"/>
    </row>
    <row r="208" spans="1:9" x14ac:dyDescent="0.3">
      <c r="A208" s="16"/>
      <c r="B208" s="9"/>
      <c r="C208" s="9" t="str">
        <f>IFERROR(INDEX('Employee Master'!$B$10:$B$109,MATCH(B208,'Employee Master'!$A$10:$A$109,0)),"")</f>
        <v/>
      </c>
      <c r="D208" s="18"/>
      <c r="E208" s="18"/>
      <c r="F208" s="16"/>
      <c r="G208" s="16" t="str">
        <f t="shared" si="6"/>
        <v/>
      </c>
      <c r="H208" s="16"/>
      <c r="I208" s="9"/>
    </row>
    <row r="209" spans="1:9" x14ac:dyDescent="0.3">
      <c r="A209" s="16"/>
      <c r="B209" s="9"/>
      <c r="C209" s="9" t="str">
        <f>IFERROR(INDEX('Employee Master'!$B$10:$B$109,MATCH(B209,'Employee Master'!$A$10:$A$109,0)),"")</f>
        <v/>
      </c>
      <c r="D209" s="18"/>
      <c r="E209" s="18"/>
      <c r="F209" s="16"/>
      <c r="G209" s="16" t="str">
        <f t="shared" si="6"/>
        <v/>
      </c>
      <c r="H209" s="16"/>
      <c r="I209" s="9"/>
    </row>
  </sheetData>
  <mergeCells count="14">
    <mergeCell ref="B6:C6"/>
    <mergeCell ref="D6:E6"/>
    <mergeCell ref="F6:G6"/>
    <mergeCell ref="H6:I6"/>
    <mergeCell ref="B7:C7"/>
    <mergeCell ref="D7:E7"/>
    <mergeCell ref="F7:G7"/>
    <mergeCell ref="H7:I7"/>
    <mergeCell ref="A1:I1"/>
    <mergeCell ref="A2:I2"/>
    <mergeCell ref="B5:C5"/>
    <mergeCell ref="D5:E5"/>
    <mergeCell ref="F5:G5"/>
    <mergeCell ref="H5:I5"/>
  </mergeCells>
  <conditionalFormatting sqref="A10:I209">
    <cfRule type="expression" dxfId="23" priority="2">
      <formula>MOD(ROW(),2)=0</formula>
    </cfRule>
  </conditionalFormatting>
  <conditionalFormatting sqref="H10:H209">
    <cfRule type="cellIs" dxfId="22" priority="3" operator="equal">
      <formula>"Approved"</formula>
    </cfRule>
    <cfRule type="cellIs" dxfId="21" priority="4" operator="equal">
      <formula>"Pending"</formula>
    </cfRule>
    <cfRule type="cellIs" dxfId="20" priority="5" operator="equal">
      <formula>"Rejected"</formula>
    </cfRule>
  </conditionalFormatting>
  <dataValidations count="1">
    <dataValidation type="list" allowBlank="1" sqref="H10:H209" xr:uid="{00000000-0002-0000-0400-000001000000}">
      <formula1>"Approved,Pending,Rejected"</formula1>
      <formula2>0</formula2>
    </dataValidation>
  </dataValidations>
  <hyperlinks>
    <hyperlink ref="A3" location="'HR Command Center'!A1" display=" HOME " xr:uid="{00000000-0004-0000-0400-000000000000}"/>
    <hyperlink ref="B3" location="'Employee Master'!A1" display=" PEOPLE " xr:uid="{00000000-0004-0000-0400-000001000000}"/>
    <hyperlink ref="C3" location="'Attendance'!A1" display=" ATTEND. " xr:uid="{00000000-0004-0000-0400-000002000000}"/>
    <hyperlink ref="E3" location="'Payroll'!A1" display=" PAYROLL " xr:uid="{00000000-0004-0000-0400-000003000000}"/>
    <hyperlink ref="F3" location="'Document Tracker'!A1" display=" DOCS " xr:uid="{00000000-0004-0000-0400-000004000000}"/>
    <hyperlink ref="G3" location="'Compliance Center'!A1" display=" COMPLY " xr:uid="{00000000-0004-0000-0400-000005000000}"/>
    <hyperlink ref="H3" location="'Analytics &amp; Reports'!A1" display=" ANALYTICS " xr:uid="{00000000-0004-0000-0400-000006000000}"/>
    <hyperlink ref="I3" location="'Management Dashboard'!A1" display=" MGMT " xr:uid="{00000000-0004-0000-0400-000007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Lists!$F$10:$F$15</xm:f>
          </x14:formula1>
          <x14:formula2>
            <xm:f>0</xm:f>
          </x14:formula2>
          <xm:sqref>F10:F209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9"/>
  <sheetViews>
    <sheetView showGridLines="0" zoomScaleNormal="100" workbookViewId="0">
      <pane xSplit="2" ySplit="9" topLeftCell="C38" activePane="bottomRight" state="frozen"/>
      <selection pane="topRight" activeCell="C1" sqref="C1"/>
      <selection pane="bottomLeft" activeCell="A10" sqref="A10"/>
      <selection pane="bottomRight" activeCell="B10" sqref="B10:B54"/>
    </sheetView>
  </sheetViews>
  <sheetFormatPr defaultColWidth="8.6640625" defaultRowHeight="14.4" x14ac:dyDescent="0.3"/>
  <cols>
    <col min="1" max="1" width="11" customWidth="1"/>
    <col min="2" max="2" width="12" customWidth="1"/>
    <col min="3" max="3" width="20" customWidth="1"/>
    <col min="4" max="4" width="18" customWidth="1"/>
    <col min="5" max="6" width="9" customWidth="1"/>
    <col min="7" max="7" width="11" customWidth="1"/>
    <col min="8" max="8" width="15" customWidth="1"/>
    <col min="9" max="9" width="18" customWidth="1"/>
  </cols>
  <sheetData>
    <row r="1" spans="1:9" ht="33.75" customHeight="1" x14ac:dyDescent="0.3">
      <c r="A1" s="26" t="s">
        <v>221</v>
      </c>
      <c r="B1" s="26"/>
      <c r="C1" s="26"/>
      <c r="D1" s="26"/>
      <c r="E1" s="26"/>
      <c r="F1" s="26"/>
      <c r="G1" s="26"/>
      <c r="H1" s="26"/>
      <c r="I1" s="26"/>
    </row>
    <row r="2" spans="1:9" ht="15.75" customHeight="1" x14ac:dyDescent="0.3">
      <c r="A2" s="27" t="s">
        <v>222</v>
      </c>
      <c r="B2" s="27"/>
      <c r="C2" s="27"/>
      <c r="D2" s="27"/>
      <c r="E2" s="27"/>
      <c r="F2" s="27"/>
      <c r="G2" s="27"/>
      <c r="H2" s="27"/>
      <c r="I2" s="27"/>
    </row>
    <row r="3" spans="1:9" ht="19.5" customHeight="1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 x14ac:dyDescent="0.3">
      <c r="A4" s="4"/>
      <c r="B4" s="4"/>
      <c r="C4" s="4"/>
      <c r="D4" s="4"/>
      <c r="E4" s="4"/>
      <c r="F4" s="4"/>
      <c r="G4" s="4"/>
      <c r="H4" s="4"/>
      <c r="I4" s="4"/>
    </row>
    <row r="5" spans="1:9" ht="13.5" customHeight="1" x14ac:dyDescent="0.3">
      <c r="A5" s="4"/>
      <c r="B5" s="28" t="s">
        <v>223</v>
      </c>
      <c r="C5" s="28"/>
      <c r="D5" s="31" t="s">
        <v>224</v>
      </c>
      <c r="E5" s="31"/>
      <c r="F5" s="29" t="s">
        <v>225</v>
      </c>
      <c r="G5" s="29"/>
      <c r="H5" s="45" t="s">
        <v>226</v>
      </c>
      <c r="I5" s="45"/>
    </row>
    <row r="6" spans="1:9" ht="25.5" customHeight="1" x14ac:dyDescent="0.3">
      <c r="A6" s="4"/>
      <c r="B6" s="81">
        <f>SUM($E$10:$E$209)</f>
        <v>108.5</v>
      </c>
      <c r="C6" s="81"/>
      <c r="D6" s="48">
        <f>SUM($G$10:$G$209)</f>
        <v>11280</v>
      </c>
      <c r="E6" s="48"/>
      <c r="F6" s="32">
        <f>IFERROR(SUMPRODUCT((B10:B209&lt;&gt;"")/COUNTIF(B10:B209,B10:B209&amp;"")),0)</f>
        <v>45</v>
      </c>
      <c r="G6" s="32"/>
      <c r="H6" s="82">
        <f>IFERROR(AVERAGE($E$10:$E$209),0)</f>
        <v>2.411111111111111</v>
      </c>
      <c r="I6" s="82"/>
    </row>
    <row r="7" spans="1:9" ht="13.5" customHeight="1" x14ac:dyDescent="0.3">
      <c r="A7" s="4"/>
      <c r="B7" s="33"/>
      <c r="C7" s="33"/>
      <c r="D7" s="36"/>
      <c r="E7" s="36"/>
      <c r="F7" s="34"/>
      <c r="G7" s="34"/>
      <c r="H7" s="46"/>
      <c r="I7" s="46"/>
    </row>
    <row r="8" spans="1:9" x14ac:dyDescent="0.3">
      <c r="A8" s="4"/>
      <c r="B8" s="4"/>
      <c r="C8" s="4"/>
      <c r="D8" s="4"/>
      <c r="E8" s="4"/>
      <c r="F8" s="4"/>
      <c r="G8" s="4"/>
      <c r="H8" s="4"/>
      <c r="I8" s="4"/>
    </row>
    <row r="9" spans="1:9" ht="30" customHeight="1" x14ac:dyDescent="0.3">
      <c r="A9" s="15" t="s">
        <v>181</v>
      </c>
      <c r="B9" s="15" t="s">
        <v>122</v>
      </c>
      <c r="C9" s="15" t="s">
        <v>123</v>
      </c>
      <c r="D9" s="15" t="s">
        <v>129</v>
      </c>
      <c r="E9" s="15" t="s">
        <v>185</v>
      </c>
      <c r="F9" s="15" t="s">
        <v>227</v>
      </c>
      <c r="G9" s="15" t="s">
        <v>228</v>
      </c>
      <c r="H9" s="15" t="s">
        <v>200</v>
      </c>
      <c r="I9" s="15" t="s">
        <v>186</v>
      </c>
    </row>
    <row r="10" spans="1:9" x14ac:dyDescent="0.3">
      <c r="A10" s="18">
        <v>46251</v>
      </c>
      <c r="B10" s="9" t="s">
        <v>287</v>
      </c>
      <c r="C10" s="9" t="str">
        <f>IFERROR(INDEX('Employee Master'!$B$10:$B$109,MATCH(B10,'Employee Master'!$A$10:$A$109,0)),"")</f>
        <v>Murugesan P</v>
      </c>
      <c r="D10" s="9" t="str">
        <f>IFERROR(INDEX('Employee Master'!$H$10:$H$109,MATCH(B10,'Employee Master'!$A$10:$A$109,0)),"")</f>
        <v>Human Resources</v>
      </c>
      <c r="E10" s="16">
        <v>1.5</v>
      </c>
      <c r="F10" s="16">
        <v>120</v>
      </c>
      <c r="G10" s="20">
        <f t="shared" ref="G10:G41" si="0">IFERROR(E10*F10,0)</f>
        <v>180</v>
      </c>
      <c r="H10" s="16" t="s">
        <v>205</v>
      </c>
      <c r="I10" s="9"/>
    </row>
    <row r="11" spans="1:9" x14ac:dyDescent="0.3">
      <c r="A11" s="18">
        <v>46259</v>
      </c>
      <c r="B11" s="9" t="s">
        <v>288</v>
      </c>
      <c r="C11" s="9" t="str">
        <f>IFERROR(INDEX('Employee Master'!$B$10:$B$109,MATCH(B11,'Employee Master'!$A$10:$A$109,0)),"")</f>
        <v>Vijay K</v>
      </c>
      <c r="D11" s="9" t="str">
        <f>IFERROR(INDEX('Employee Master'!$H$10:$H$109,MATCH(B11,'Employee Master'!$A$10:$A$109,0)),"")</f>
        <v>Finance &amp; Accounts</v>
      </c>
      <c r="E11" s="16">
        <v>4</v>
      </c>
      <c r="F11" s="16">
        <v>120</v>
      </c>
      <c r="G11" s="20">
        <f t="shared" si="0"/>
        <v>480</v>
      </c>
      <c r="H11" s="16" t="s">
        <v>80</v>
      </c>
      <c r="I11" s="9"/>
    </row>
    <row r="12" spans="1:9" x14ac:dyDescent="0.3">
      <c r="A12" s="18">
        <v>46259</v>
      </c>
      <c r="B12" s="9" t="s">
        <v>289</v>
      </c>
      <c r="C12" s="9" t="str">
        <f>IFERROR(INDEX('Employee Master'!$B$10:$B$109,MATCH(B12,'Employee Master'!$A$10:$A$109,0)),"")</f>
        <v>Murugesan P</v>
      </c>
      <c r="D12" s="9" t="str">
        <f>IFERROR(INDEX('Employee Master'!$H$10:$H$109,MATCH(B12,'Employee Master'!$A$10:$A$109,0)),"")</f>
        <v>Administration</v>
      </c>
      <c r="E12" s="16">
        <v>4</v>
      </c>
      <c r="F12" s="16">
        <v>120</v>
      </c>
      <c r="G12" s="20">
        <f t="shared" si="0"/>
        <v>480</v>
      </c>
      <c r="H12" s="16" t="s">
        <v>205</v>
      </c>
      <c r="I12" s="9"/>
    </row>
    <row r="13" spans="1:9" x14ac:dyDescent="0.3">
      <c r="A13" s="18">
        <v>46256</v>
      </c>
      <c r="B13" s="9" t="s">
        <v>290</v>
      </c>
      <c r="C13" s="9" t="str">
        <f>IFERROR(INDEX('Employee Master'!$B$10:$B$109,MATCH(B13,'Employee Master'!$A$10:$A$109,0)),"")</f>
        <v>Murugesan S</v>
      </c>
      <c r="D13" s="9" t="str">
        <f>IFERROR(INDEX('Employee Master'!$H$10:$H$109,MATCH(B13,'Employee Master'!$A$10:$A$109,0)),"")</f>
        <v>Operations</v>
      </c>
      <c r="E13" s="16">
        <v>2.5</v>
      </c>
      <c r="F13" s="16">
        <v>120</v>
      </c>
      <c r="G13" s="20">
        <f t="shared" si="0"/>
        <v>300</v>
      </c>
      <c r="H13" s="16" t="s">
        <v>205</v>
      </c>
      <c r="I13" s="9"/>
    </row>
    <row r="14" spans="1:9" x14ac:dyDescent="0.3">
      <c r="A14" s="18">
        <v>46252</v>
      </c>
      <c r="B14" s="9" t="s">
        <v>291</v>
      </c>
      <c r="C14" s="9" t="str">
        <f>IFERROR(INDEX('Employee Master'!$B$10:$B$109,MATCH(B14,'Employee Master'!$A$10:$A$109,0)),"")</f>
        <v>Murugesan</v>
      </c>
      <c r="D14" s="9" t="str">
        <f>IFERROR(INDEX('Employee Master'!$H$10:$H$109,MATCH(B14,'Employee Master'!$A$10:$A$109,0)),"")</f>
        <v>Sales &amp; Marketing</v>
      </c>
      <c r="E14" s="16">
        <v>1.5</v>
      </c>
      <c r="F14" s="16">
        <v>120</v>
      </c>
      <c r="G14" s="20">
        <f t="shared" si="0"/>
        <v>180</v>
      </c>
      <c r="H14" s="16" t="s">
        <v>80</v>
      </c>
      <c r="I14" s="9"/>
    </row>
    <row r="15" spans="1:9" x14ac:dyDescent="0.3">
      <c r="A15" s="18">
        <v>46251</v>
      </c>
      <c r="B15" s="9" t="s">
        <v>292</v>
      </c>
      <c r="C15" s="9" t="str">
        <f>IFERROR(INDEX('Employee Master'!$B$10:$B$109,MATCH(B15,'Employee Master'!$A$10:$A$109,0)),"")</f>
        <v>Elango K</v>
      </c>
      <c r="D15" s="9" t="str">
        <f>IFERROR(INDEX('Employee Master'!$H$10:$H$109,MATCH(B15,'Employee Master'!$A$10:$A$109,0)),"")</f>
        <v>IT &amp; Systems</v>
      </c>
      <c r="E15" s="16">
        <v>1</v>
      </c>
      <c r="F15" s="16">
        <v>120</v>
      </c>
      <c r="G15" s="20">
        <f t="shared" si="0"/>
        <v>120</v>
      </c>
      <c r="H15" s="16" t="s">
        <v>80</v>
      </c>
      <c r="I15" s="9"/>
    </row>
    <row r="16" spans="1:9" x14ac:dyDescent="0.3">
      <c r="A16" s="18">
        <v>46251</v>
      </c>
      <c r="B16" s="9" t="s">
        <v>293</v>
      </c>
      <c r="C16" s="9" t="str">
        <f>IFERROR(INDEX('Employee Master'!$B$10:$B$109,MATCH(B16,'Employee Master'!$A$10:$A$109,0)),"")</f>
        <v>Murugan</v>
      </c>
      <c r="D16" s="9" t="str">
        <f>IFERROR(INDEX('Employee Master'!$H$10:$H$109,MATCH(B16,'Employee Master'!$A$10:$A$109,0)),"")</f>
        <v>Procurement</v>
      </c>
      <c r="E16" s="16">
        <v>4</v>
      </c>
      <c r="F16" s="16">
        <v>120</v>
      </c>
      <c r="G16" s="20">
        <f t="shared" si="0"/>
        <v>480</v>
      </c>
      <c r="H16" s="16" t="s">
        <v>80</v>
      </c>
      <c r="I16" s="9"/>
    </row>
    <row r="17" spans="1:9" x14ac:dyDescent="0.3">
      <c r="A17" s="18">
        <v>46252</v>
      </c>
      <c r="B17" s="9" t="s">
        <v>294</v>
      </c>
      <c r="C17" s="9" t="str">
        <f>IFERROR(INDEX('Employee Master'!$B$10:$B$109,MATCH(B17,'Employee Master'!$A$10:$A$109,0)),"")</f>
        <v>Bala Murugan</v>
      </c>
      <c r="D17" s="9" t="str">
        <f>IFERROR(INDEX('Employee Master'!$H$10:$H$109,MATCH(B17,'Employee Master'!$A$10:$A$109,0)),"")</f>
        <v>Quality Control</v>
      </c>
      <c r="E17" s="16">
        <v>3</v>
      </c>
      <c r="F17" s="16">
        <v>120</v>
      </c>
      <c r="G17" s="20">
        <f t="shared" si="0"/>
        <v>360</v>
      </c>
      <c r="H17" s="16" t="s">
        <v>205</v>
      </c>
      <c r="I17" s="9"/>
    </row>
    <row r="18" spans="1:9" x14ac:dyDescent="0.3">
      <c r="A18" s="18">
        <v>46259</v>
      </c>
      <c r="B18" s="9" t="s">
        <v>295</v>
      </c>
      <c r="C18" s="9" t="str">
        <f>IFERROR(INDEX('Employee Master'!$B$10:$B$109,MATCH(B18,'Employee Master'!$A$10:$A$109,0)),"")</f>
        <v>Murugesan V</v>
      </c>
      <c r="D18" s="9" t="str">
        <f>IFERROR(INDEX('Employee Master'!$H$10:$H$109,MATCH(B18,'Employee Master'!$A$10:$A$109,0)),"")</f>
        <v>Maintenance</v>
      </c>
      <c r="E18" s="16">
        <v>1.5</v>
      </c>
      <c r="F18" s="16">
        <v>120</v>
      </c>
      <c r="G18" s="20">
        <f t="shared" si="0"/>
        <v>180</v>
      </c>
      <c r="H18" s="16" t="s">
        <v>205</v>
      </c>
      <c r="I18" s="9"/>
    </row>
    <row r="19" spans="1:9" x14ac:dyDescent="0.3">
      <c r="A19" s="18">
        <v>46258</v>
      </c>
      <c r="B19" s="9" t="s">
        <v>296</v>
      </c>
      <c r="C19" s="9" t="str">
        <f>IFERROR(INDEX('Employee Master'!$B$10:$B$109,MATCH(B19,'Employee Master'!$A$10:$A$109,0)),"")</f>
        <v>Elango P</v>
      </c>
      <c r="D19" s="9" t="str">
        <f>IFERROR(INDEX('Employee Master'!$H$10:$H$109,MATCH(B19,'Employee Master'!$A$10:$A$109,0)),"")</f>
        <v>Customer Support</v>
      </c>
      <c r="E19" s="16">
        <v>4</v>
      </c>
      <c r="F19" s="16">
        <v>90</v>
      </c>
      <c r="G19" s="20">
        <f t="shared" si="0"/>
        <v>360</v>
      </c>
      <c r="H19" s="16" t="s">
        <v>205</v>
      </c>
      <c r="I19" s="9"/>
    </row>
    <row r="20" spans="1:9" x14ac:dyDescent="0.3">
      <c r="A20" s="18">
        <v>46252</v>
      </c>
      <c r="B20" s="9" t="s">
        <v>297</v>
      </c>
      <c r="C20" s="9" t="str">
        <f>IFERROR(INDEX('Employee Master'!$B$10:$B$109,MATCH(B20,'Employee Master'!$A$10:$A$109,0)),"")</f>
        <v>Senthil Kumar K</v>
      </c>
      <c r="D20" s="9" t="str">
        <f>IFERROR(INDEX('Employee Master'!$H$10:$H$109,MATCH(B20,'Employee Master'!$A$10:$A$109,0)),"")</f>
        <v>Human Resources</v>
      </c>
      <c r="E20" s="16">
        <v>4</v>
      </c>
      <c r="F20" s="16">
        <v>90</v>
      </c>
      <c r="G20" s="20">
        <f t="shared" si="0"/>
        <v>360</v>
      </c>
      <c r="H20" s="16" t="s">
        <v>205</v>
      </c>
      <c r="I20" s="9"/>
    </row>
    <row r="21" spans="1:9" x14ac:dyDescent="0.3">
      <c r="A21" s="18">
        <v>46256</v>
      </c>
      <c r="B21" s="9" t="s">
        <v>298</v>
      </c>
      <c r="C21" s="9" t="str">
        <f>IFERROR(INDEX('Employee Master'!$B$10:$B$109,MATCH(B21,'Employee Master'!$A$10:$A$109,0)),"")</f>
        <v>Saravanan P</v>
      </c>
      <c r="D21" s="9" t="str">
        <f>IFERROR(INDEX('Employee Master'!$H$10:$H$109,MATCH(B21,'Employee Master'!$A$10:$A$109,0)),"")</f>
        <v>Finance &amp; Accounts</v>
      </c>
      <c r="E21" s="16">
        <v>2.5</v>
      </c>
      <c r="F21" s="16">
        <v>90</v>
      </c>
      <c r="G21" s="20">
        <f t="shared" si="0"/>
        <v>225</v>
      </c>
      <c r="H21" s="16" t="s">
        <v>80</v>
      </c>
      <c r="I21" s="9"/>
    </row>
    <row r="22" spans="1:9" x14ac:dyDescent="0.3">
      <c r="A22" s="18">
        <v>46254</v>
      </c>
      <c r="B22" s="9" t="s">
        <v>299</v>
      </c>
      <c r="C22" s="9" t="str">
        <f>IFERROR(INDEX('Employee Master'!$B$10:$B$109,MATCH(B22,'Employee Master'!$A$10:$A$109,0)),"")</f>
        <v>Karthik V</v>
      </c>
      <c r="D22" s="9" t="str">
        <f>IFERROR(INDEX('Employee Master'!$H$10:$H$109,MATCH(B22,'Employee Master'!$A$10:$A$109,0)),"")</f>
        <v>Administration</v>
      </c>
      <c r="E22" s="16">
        <v>2</v>
      </c>
      <c r="F22" s="16">
        <v>90</v>
      </c>
      <c r="G22" s="20">
        <f t="shared" si="0"/>
        <v>180</v>
      </c>
      <c r="H22" s="16" t="s">
        <v>205</v>
      </c>
      <c r="I22" s="9"/>
    </row>
    <row r="23" spans="1:9" x14ac:dyDescent="0.3">
      <c r="A23" s="18">
        <v>46256</v>
      </c>
      <c r="B23" s="9" t="s">
        <v>300</v>
      </c>
      <c r="C23" s="9" t="str">
        <f>IFERROR(INDEX('Employee Master'!$B$10:$B$109,MATCH(B23,'Employee Master'!$A$10:$A$109,0)),"")</f>
        <v>Senthil Kumar</v>
      </c>
      <c r="D23" s="9" t="str">
        <f>IFERROR(INDEX('Employee Master'!$H$10:$H$109,MATCH(B23,'Employee Master'!$A$10:$A$109,0)),"")</f>
        <v>Operations</v>
      </c>
      <c r="E23" s="16">
        <v>2.5</v>
      </c>
      <c r="F23" s="16">
        <v>90</v>
      </c>
      <c r="G23" s="20">
        <f t="shared" si="0"/>
        <v>225</v>
      </c>
      <c r="H23" s="16" t="s">
        <v>205</v>
      </c>
      <c r="I23" s="9"/>
    </row>
    <row r="24" spans="1:9" x14ac:dyDescent="0.3">
      <c r="A24" s="18">
        <v>46260</v>
      </c>
      <c r="B24" s="9" t="s">
        <v>301</v>
      </c>
      <c r="C24" s="9" t="str">
        <f>IFERROR(INDEX('Employee Master'!$B$10:$B$109,MATCH(B24,'Employee Master'!$A$10:$A$109,0)),"")</f>
        <v>Gopinath P</v>
      </c>
      <c r="D24" s="9" t="str">
        <f>IFERROR(INDEX('Employee Master'!$H$10:$H$109,MATCH(B24,'Employee Master'!$A$10:$A$109,0)),"")</f>
        <v>Sales &amp; Marketing</v>
      </c>
      <c r="E24" s="16">
        <v>1</v>
      </c>
      <c r="F24" s="16">
        <v>90</v>
      </c>
      <c r="G24" s="20">
        <f t="shared" si="0"/>
        <v>90</v>
      </c>
      <c r="H24" s="16" t="s">
        <v>205</v>
      </c>
      <c r="I24" s="9"/>
    </row>
    <row r="25" spans="1:9" x14ac:dyDescent="0.3">
      <c r="A25" s="18">
        <v>46256</v>
      </c>
      <c r="B25" s="9" t="s">
        <v>302</v>
      </c>
      <c r="C25" s="9" t="str">
        <f>IFERROR(INDEX('Employee Master'!$B$10:$B$109,MATCH(B25,'Employee Master'!$A$10:$A$109,0)),"")</f>
        <v>Muthu Raj</v>
      </c>
      <c r="D25" s="9" t="str">
        <f>IFERROR(INDEX('Employee Master'!$H$10:$H$109,MATCH(B25,'Employee Master'!$A$10:$A$109,0)),"")</f>
        <v>IT &amp; Systems</v>
      </c>
      <c r="E25" s="16">
        <v>2.5</v>
      </c>
      <c r="F25" s="16">
        <v>90</v>
      </c>
      <c r="G25" s="20">
        <f t="shared" si="0"/>
        <v>225</v>
      </c>
      <c r="H25" s="16" t="s">
        <v>205</v>
      </c>
      <c r="I25" s="9"/>
    </row>
    <row r="26" spans="1:9" x14ac:dyDescent="0.3">
      <c r="A26" s="18">
        <v>46256</v>
      </c>
      <c r="B26" s="9" t="s">
        <v>303</v>
      </c>
      <c r="C26" s="9" t="str">
        <f>IFERROR(INDEX('Employee Master'!$B$10:$B$109,MATCH(B26,'Employee Master'!$A$10:$A$109,0)),"")</f>
        <v>Senthil Kumar S</v>
      </c>
      <c r="D26" s="9" t="str">
        <f>IFERROR(INDEX('Employee Master'!$H$10:$H$109,MATCH(B26,'Employee Master'!$A$10:$A$109,0)),"")</f>
        <v>Procurement</v>
      </c>
      <c r="E26" s="16">
        <v>3</v>
      </c>
      <c r="F26" s="16">
        <v>90</v>
      </c>
      <c r="G26" s="20">
        <f t="shared" si="0"/>
        <v>270</v>
      </c>
      <c r="H26" s="16" t="s">
        <v>205</v>
      </c>
      <c r="I26" s="9"/>
    </row>
    <row r="27" spans="1:9" x14ac:dyDescent="0.3">
      <c r="A27" s="18">
        <v>46256</v>
      </c>
      <c r="B27" s="9" t="s">
        <v>304</v>
      </c>
      <c r="C27" s="9" t="str">
        <f>IFERROR(INDEX('Employee Master'!$B$10:$B$109,MATCH(B27,'Employee Master'!$A$10:$A$109,0)),"")</f>
        <v>Sowmya V</v>
      </c>
      <c r="D27" s="9" t="str">
        <f>IFERROR(INDEX('Employee Master'!$H$10:$H$109,MATCH(B27,'Employee Master'!$A$10:$A$109,0)),"")</f>
        <v>Quality Control</v>
      </c>
      <c r="E27" s="16">
        <v>1.5</v>
      </c>
      <c r="F27" s="16">
        <v>90</v>
      </c>
      <c r="G27" s="20">
        <f t="shared" si="0"/>
        <v>135</v>
      </c>
      <c r="H27" s="16" t="s">
        <v>80</v>
      </c>
      <c r="I27" s="9"/>
    </row>
    <row r="28" spans="1:9" x14ac:dyDescent="0.3">
      <c r="A28" s="18">
        <v>46259</v>
      </c>
      <c r="B28" s="9" t="s">
        <v>305</v>
      </c>
      <c r="C28" s="9" t="str">
        <f>IFERROR(INDEX('Employee Master'!$B$10:$B$109,MATCH(B28,'Employee Master'!$A$10:$A$109,0)),"")</f>
        <v>Nandhini</v>
      </c>
      <c r="D28" s="9" t="str">
        <f>IFERROR(INDEX('Employee Master'!$H$10:$H$109,MATCH(B28,'Employee Master'!$A$10:$A$109,0)),"")</f>
        <v>Maintenance</v>
      </c>
      <c r="E28" s="16">
        <v>1</v>
      </c>
      <c r="F28" s="16">
        <v>90</v>
      </c>
      <c r="G28" s="20">
        <f t="shared" si="0"/>
        <v>90</v>
      </c>
      <c r="H28" s="16" t="s">
        <v>205</v>
      </c>
      <c r="I28" s="9"/>
    </row>
    <row r="29" spans="1:9" x14ac:dyDescent="0.3">
      <c r="A29" s="18">
        <v>46254</v>
      </c>
      <c r="B29" s="9" t="s">
        <v>306</v>
      </c>
      <c r="C29" s="9" t="str">
        <f>IFERROR(INDEX('Employee Master'!$B$10:$B$109,MATCH(B29,'Employee Master'!$A$10:$A$109,0)),"")</f>
        <v>Divya</v>
      </c>
      <c r="D29" s="9" t="str">
        <f>IFERROR(INDEX('Employee Master'!$H$10:$H$109,MATCH(B29,'Employee Master'!$A$10:$A$109,0)),"")</f>
        <v>Customer Support</v>
      </c>
      <c r="E29" s="16">
        <v>2</v>
      </c>
      <c r="F29" s="16">
        <v>90</v>
      </c>
      <c r="G29" s="20">
        <f t="shared" si="0"/>
        <v>180</v>
      </c>
      <c r="H29" s="16" t="s">
        <v>80</v>
      </c>
      <c r="I29" s="9"/>
    </row>
    <row r="30" spans="1:9" x14ac:dyDescent="0.3">
      <c r="A30" s="18">
        <v>46253</v>
      </c>
      <c r="B30" s="9" t="s">
        <v>307</v>
      </c>
      <c r="C30" s="9" t="str">
        <f>IFERROR(INDEX('Employee Master'!$B$10:$B$109,MATCH(B30,'Employee Master'!$A$10:$A$109,0)),"")</f>
        <v>Divya K</v>
      </c>
      <c r="D30" s="9" t="str">
        <f>IFERROR(INDEX('Employee Master'!$H$10:$H$109,MATCH(B30,'Employee Master'!$A$10:$A$109,0)),"")</f>
        <v>Human Resources</v>
      </c>
      <c r="E30" s="16">
        <v>3</v>
      </c>
      <c r="F30" s="16">
        <v>120</v>
      </c>
      <c r="G30" s="20">
        <f t="shared" si="0"/>
        <v>360</v>
      </c>
      <c r="H30" s="16" t="s">
        <v>80</v>
      </c>
      <c r="I30" s="9"/>
    </row>
    <row r="31" spans="1:9" x14ac:dyDescent="0.3">
      <c r="A31" s="18">
        <v>46252</v>
      </c>
      <c r="B31" s="9" t="s">
        <v>308</v>
      </c>
      <c r="C31" s="9" t="str">
        <f>IFERROR(INDEX('Employee Master'!$B$10:$B$109,MATCH(B31,'Employee Master'!$A$10:$A$109,0)),"")</f>
        <v>Karthik S</v>
      </c>
      <c r="D31" s="9" t="str">
        <f>IFERROR(INDEX('Employee Master'!$H$10:$H$109,MATCH(B31,'Employee Master'!$A$10:$A$109,0)),"")</f>
        <v>Finance &amp; Accounts</v>
      </c>
      <c r="E31" s="16">
        <v>1</v>
      </c>
      <c r="F31" s="16">
        <v>120</v>
      </c>
      <c r="G31" s="20">
        <f t="shared" si="0"/>
        <v>120</v>
      </c>
      <c r="H31" s="16" t="s">
        <v>205</v>
      </c>
      <c r="I31" s="9"/>
    </row>
    <row r="32" spans="1:9" x14ac:dyDescent="0.3">
      <c r="A32" s="18">
        <v>46260</v>
      </c>
      <c r="B32" s="9" t="s">
        <v>309</v>
      </c>
      <c r="C32" s="9" t="str">
        <f>IFERROR(INDEX('Employee Master'!$B$10:$B$109,MATCH(B32,'Employee Master'!$A$10:$A$109,0)),"")</f>
        <v>Dinesh</v>
      </c>
      <c r="D32" s="9" t="str">
        <f>IFERROR(INDEX('Employee Master'!$H$10:$H$109,MATCH(B32,'Employee Master'!$A$10:$A$109,0)),"")</f>
        <v>Administration</v>
      </c>
      <c r="E32" s="16">
        <v>2.5</v>
      </c>
      <c r="F32" s="16">
        <v>120</v>
      </c>
      <c r="G32" s="20">
        <f t="shared" si="0"/>
        <v>300</v>
      </c>
      <c r="H32" s="16" t="s">
        <v>80</v>
      </c>
      <c r="I32" s="9"/>
    </row>
    <row r="33" spans="1:9" x14ac:dyDescent="0.3">
      <c r="A33" s="18">
        <v>46251</v>
      </c>
      <c r="B33" s="9" t="s">
        <v>310</v>
      </c>
      <c r="C33" s="9" t="str">
        <f>IFERROR(INDEX('Employee Master'!$B$10:$B$109,MATCH(B33,'Employee Master'!$A$10:$A$109,0)),"")</f>
        <v>Kumaresan M</v>
      </c>
      <c r="D33" s="9" t="str">
        <f>IFERROR(INDEX('Employee Master'!$H$10:$H$109,MATCH(B33,'Employee Master'!$A$10:$A$109,0)),"")</f>
        <v>Operations</v>
      </c>
      <c r="E33" s="16">
        <v>2.5</v>
      </c>
      <c r="F33" s="16">
        <v>120</v>
      </c>
      <c r="G33" s="20">
        <f t="shared" si="0"/>
        <v>300</v>
      </c>
      <c r="H33" s="16" t="s">
        <v>205</v>
      </c>
      <c r="I33" s="9"/>
    </row>
    <row r="34" spans="1:9" x14ac:dyDescent="0.3">
      <c r="A34" s="18">
        <v>46252</v>
      </c>
      <c r="B34" s="9" t="s">
        <v>311</v>
      </c>
      <c r="C34" s="9" t="str">
        <f>IFERROR(INDEX('Employee Master'!$B$10:$B$109,MATCH(B34,'Employee Master'!$A$10:$A$109,0)),"")</f>
        <v>Vijay P</v>
      </c>
      <c r="D34" s="9" t="str">
        <f>IFERROR(INDEX('Employee Master'!$H$10:$H$109,MATCH(B34,'Employee Master'!$A$10:$A$109,0)),"")</f>
        <v>Sales &amp; Marketing</v>
      </c>
      <c r="E34" s="16">
        <v>1</v>
      </c>
      <c r="F34" s="16">
        <v>120</v>
      </c>
      <c r="G34" s="20">
        <f t="shared" si="0"/>
        <v>120</v>
      </c>
      <c r="H34" s="16" t="s">
        <v>205</v>
      </c>
      <c r="I34" s="9"/>
    </row>
    <row r="35" spans="1:9" x14ac:dyDescent="0.3">
      <c r="A35" s="18">
        <v>46259</v>
      </c>
      <c r="B35" s="9" t="s">
        <v>312</v>
      </c>
      <c r="C35" s="9" t="str">
        <f>IFERROR(INDEX('Employee Master'!$B$10:$B$109,MATCH(B35,'Employee Master'!$A$10:$A$109,0)),"")</f>
        <v>Divya R</v>
      </c>
      <c r="D35" s="9" t="str">
        <f>IFERROR(INDEX('Employee Master'!$H$10:$H$109,MATCH(B35,'Employee Master'!$A$10:$A$109,0)),"")</f>
        <v>IT &amp; Systems</v>
      </c>
      <c r="E35" s="16">
        <v>3</v>
      </c>
      <c r="F35" s="16">
        <v>120</v>
      </c>
      <c r="G35" s="20">
        <f t="shared" si="0"/>
        <v>360</v>
      </c>
      <c r="H35" s="16" t="s">
        <v>80</v>
      </c>
      <c r="I35" s="9"/>
    </row>
    <row r="36" spans="1:9" x14ac:dyDescent="0.3">
      <c r="A36" s="18">
        <v>46260</v>
      </c>
      <c r="B36" s="9" t="s">
        <v>313</v>
      </c>
      <c r="C36" s="9" t="str">
        <f>IFERROR(INDEX('Employee Master'!$B$10:$B$109,MATCH(B36,'Employee Master'!$A$10:$A$109,0)),"")</f>
        <v>Selvam R</v>
      </c>
      <c r="D36" s="9" t="str">
        <f>IFERROR(INDEX('Employee Master'!$H$10:$H$109,MATCH(B36,'Employee Master'!$A$10:$A$109,0)),"")</f>
        <v>Procurement</v>
      </c>
      <c r="E36" s="16">
        <v>3</v>
      </c>
      <c r="F36" s="16">
        <v>90</v>
      </c>
      <c r="G36" s="20">
        <f t="shared" si="0"/>
        <v>270</v>
      </c>
      <c r="H36" s="16" t="s">
        <v>80</v>
      </c>
      <c r="I36" s="9"/>
    </row>
    <row r="37" spans="1:9" x14ac:dyDescent="0.3">
      <c r="A37" s="18">
        <v>46253</v>
      </c>
      <c r="B37" s="9" t="s">
        <v>314</v>
      </c>
      <c r="C37" s="9" t="str">
        <f>IFERROR(INDEX('Employee Master'!$B$10:$B$109,MATCH(B37,'Employee Master'!$A$10:$A$109,0)),"")</f>
        <v>Saravanan</v>
      </c>
      <c r="D37" s="9" t="str">
        <f>IFERROR(INDEX('Employee Master'!$H$10:$H$109,MATCH(B37,'Employee Master'!$A$10:$A$109,0)),"")</f>
        <v>Quality Control</v>
      </c>
      <c r="E37" s="16">
        <v>4</v>
      </c>
      <c r="F37" s="16">
        <v>120</v>
      </c>
      <c r="G37" s="20">
        <f t="shared" si="0"/>
        <v>480</v>
      </c>
      <c r="H37" s="16" t="s">
        <v>80</v>
      </c>
      <c r="I37" s="9"/>
    </row>
    <row r="38" spans="1:9" x14ac:dyDescent="0.3">
      <c r="A38" s="18">
        <v>46252</v>
      </c>
      <c r="B38" s="9" t="s">
        <v>315</v>
      </c>
      <c r="C38" s="9" t="str">
        <f>IFERROR(INDEX('Employee Master'!$B$10:$B$109,MATCH(B38,'Employee Master'!$A$10:$A$109,0)),"")</f>
        <v>Nandhini R</v>
      </c>
      <c r="D38" s="9" t="str">
        <f>IFERROR(INDEX('Employee Master'!$H$10:$H$109,MATCH(B38,'Employee Master'!$A$10:$A$109,0)),"")</f>
        <v>Maintenance</v>
      </c>
      <c r="E38" s="16">
        <v>1.5</v>
      </c>
      <c r="F38" s="16">
        <v>120</v>
      </c>
      <c r="G38" s="20">
        <f t="shared" si="0"/>
        <v>180</v>
      </c>
      <c r="H38" s="16" t="s">
        <v>205</v>
      </c>
      <c r="I38" s="9"/>
    </row>
    <row r="39" spans="1:9" x14ac:dyDescent="0.3">
      <c r="A39" s="18">
        <v>46259</v>
      </c>
      <c r="B39" s="9" t="s">
        <v>316</v>
      </c>
      <c r="C39" s="9" t="str">
        <f>IFERROR(INDEX('Employee Master'!$B$10:$B$109,MATCH(B39,'Employee Master'!$A$10:$A$109,0)),"")</f>
        <v>Kavitha R</v>
      </c>
      <c r="D39" s="9" t="str">
        <f>IFERROR(INDEX('Employee Master'!$H$10:$H$109,MATCH(B39,'Employee Master'!$A$10:$A$109,0)),"")</f>
        <v>Customer Support</v>
      </c>
      <c r="E39" s="16">
        <v>4</v>
      </c>
      <c r="F39" s="16">
        <v>90</v>
      </c>
      <c r="G39" s="20">
        <f t="shared" si="0"/>
        <v>360</v>
      </c>
      <c r="H39" s="16" t="s">
        <v>205</v>
      </c>
      <c r="I39" s="9"/>
    </row>
    <row r="40" spans="1:9" x14ac:dyDescent="0.3">
      <c r="A40" s="18">
        <v>46252</v>
      </c>
      <c r="B40" s="9" t="s">
        <v>317</v>
      </c>
      <c r="C40" s="9" t="str">
        <f>IFERROR(INDEX('Employee Master'!$B$10:$B$109,MATCH(B40,'Employee Master'!$A$10:$A$109,0)),"")</f>
        <v>Suresh K</v>
      </c>
      <c r="D40" s="9" t="str">
        <f>IFERROR(INDEX('Employee Master'!$H$10:$H$109,MATCH(B40,'Employee Master'!$A$10:$A$109,0)),"")</f>
        <v>Human Resources</v>
      </c>
      <c r="E40" s="16">
        <v>4</v>
      </c>
      <c r="F40" s="16">
        <v>90</v>
      </c>
      <c r="G40" s="20">
        <f t="shared" si="0"/>
        <v>360</v>
      </c>
      <c r="H40" s="16" t="s">
        <v>205</v>
      </c>
      <c r="I40" s="9"/>
    </row>
    <row r="41" spans="1:9" x14ac:dyDescent="0.3">
      <c r="A41" s="18">
        <v>46251</v>
      </c>
      <c r="B41" s="9" t="s">
        <v>318</v>
      </c>
      <c r="C41" s="9" t="str">
        <f>IFERROR(INDEX('Employee Master'!$B$10:$B$109,MATCH(B41,'Employee Master'!$A$10:$A$109,0)),"")</f>
        <v>Sathish M</v>
      </c>
      <c r="D41" s="9" t="str">
        <f>IFERROR(INDEX('Employee Master'!$H$10:$H$109,MATCH(B41,'Employee Master'!$A$10:$A$109,0)),"")</f>
        <v>Finance &amp; Accounts</v>
      </c>
      <c r="E41" s="16">
        <v>2.5</v>
      </c>
      <c r="F41" s="16">
        <v>90</v>
      </c>
      <c r="G41" s="20">
        <f t="shared" si="0"/>
        <v>225</v>
      </c>
      <c r="H41" s="16" t="s">
        <v>205</v>
      </c>
      <c r="I41" s="9"/>
    </row>
    <row r="42" spans="1:9" x14ac:dyDescent="0.3">
      <c r="A42" s="18">
        <v>46251</v>
      </c>
      <c r="B42" s="9" t="s">
        <v>319</v>
      </c>
      <c r="C42" s="9" t="str">
        <f>IFERROR(INDEX('Employee Master'!$B$10:$B$109,MATCH(B42,'Employee Master'!$A$10:$A$109,0)),"")</f>
        <v>Selvam K</v>
      </c>
      <c r="D42" s="9" t="str">
        <f>IFERROR(INDEX('Employee Master'!$H$10:$H$109,MATCH(B42,'Employee Master'!$A$10:$A$109,0)),"")</f>
        <v>Administration</v>
      </c>
      <c r="E42" s="16">
        <v>2</v>
      </c>
      <c r="F42" s="16">
        <v>90</v>
      </c>
      <c r="G42" s="20">
        <f t="shared" ref="G42:G73" si="1">IFERROR(E42*F42,0)</f>
        <v>180</v>
      </c>
      <c r="H42" s="16" t="s">
        <v>205</v>
      </c>
      <c r="I42" s="9"/>
    </row>
    <row r="43" spans="1:9" x14ac:dyDescent="0.3">
      <c r="A43" s="18">
        <v>46255</v>
      </c>
      <c r="B43" s="9" t="s">
        <v>320</v>
      </c>
      <c r="C43" s="9" t="str">
        <f>IFERROR(INDEX('Employee Master'!$B$10:$B$109,MATCH(B43,'Employee Master'!$A$10:$A$109,0)),"")</f>
        <v>Revathi V</v>
      </c>
      <c r="D43" s="9" t="str">
        <f>IFERROR(INDEX('Employee Master'!$H$10:$H$109,MATCH(B43,'Employee Master'!$A$10:$A$109,0)),"")</f>
        <v>Operations</v>
      </c>
      <c r="E43" s="16">
        <v>3</v>
      </c>
      <c r="F43" s="16">
        <v>90</v>
      </c>
      <c r="G43" s="20">
        <f t="shared" si="1"/>
        <v>270</v>
      </c>
      <c r="H43" s="16" t="s">
        <v>80</v>
      </c>
      <c r="I43" s="9"/>
    </row>
    <row r="44" spans="1:9" x14ac:dyDescent="0.3">
      <c r="A44" s="18">
        <v>46255</v>
      </c>
      <c r="B44" s="9" t="s">
        <v>321</v>
      </c>
      <c r="C44" s="9" t="str">
        <f>IFERROR(INDEX('Employee Master'!$B$10:$B$109,MATCH(B44,'Employee Master'!$A$10:$A$109,0)),"")</f>
        <v>Naveen M</v>
      </c>
      <c r="D44" s="9" t="str">
        <f>IFERROR(INDEX('Employee Master'!$H$10:$H$109,MATCH(B44,'Employee Master'!$A$10:$A$109,0)),"")</f>
        <v>Sales &amp; Marketing</v>
      </c>
      <c r="E44" s="16">
        <v>2</v>
      </c>
      <c r="F44" s="16">
        <v>90</v>
      </c>
      <c r="G44" s="20">
        <f t="shared" si="1"/>
        <v>180</v>
      </c>
      <c r="H44" s="16" t="s">
        <v>205</v>
      </c>
      <c r="I44" s="9"/>
    </row>
    <row r="45" spans="1:9" x14ac:dyDescent="0.3">
      <c r="A45" s="18">
        <v>46251</v>
      </c>
      <c r="B45" s="9" t="s">
        <v>322</v>
      </c>
      <c r="C45" s="9" t="str">
        <f>IFERROR(INDEX('Employee Master'!$B$10:$B$109,MATCH(B45,'Employee Master'!$A$10:$A$109,0)),"")</f>
        <v>Kavitha K</v>
      </c>
      <c r="D45" s="9" t="str">
        <f>IFERROR(INDEX('Employee Master'!$H$10:$H$109,MATCH(B45,'Employee Master'!$A$10:$A$109,0)),"")</f>
        <v>IT &amp; Systems</v>
      </c>
      <c r="E45" s="16">
        <v>2</v>
      </c>
      <c r="F45" s="16">
        <v>90</v>
      </c>
      <c r="G45" s="20">
        <f t="shared" si="1"/>
        <v>180</v>
      </c>
      <c r="H45" s="16" t="s">
        <v>205</v>
      </c>
      <c r="I45" s="9"/>
    </row>
    <row r="46" spans="1:9" x14ac:dyDescent="0.3">
      <c r="A46" s="18">
        <v>46258</v>
      </c>
      <c r="B46" s="9" t="s">
        <v>339</v>
      </c>
      <c r="C46" s="9" t="str">
        <f>IFERROR(INDEX('Employee Master'!$B$10:$B$109,MATCH(B46,'Employee Master'!$A$10:$A$109,0)),"")</f>
        <v/>
      </c>
      <c r="D46" s="9" t="str">
        <f>IFERROR(INDEX('Employee Master'!$H$10:$H$109,MATCH(B46,'Employee Master'!$A$10:$A$109,0)),"")</f>
        <v/>
      </c>
      <c r="E46" s="16">
        <v>3</v>
      </c>
      <c r="F46" s="16">
        <v>90</v>
      </c>
      <c r="G46" s="20">
        <f t="shared" si="1"/>
        <v>270</v>
      </c>
      <c r="H46" s="16" t="s">
        <v>80</v>
      </c>
      <c r="I46" s="9"/>
    </row>
    <row r="47" spans="1:9" x14ac:dyDescent="0.3">
      <c r="A47" s="18">
        <v>46251</v>
      </c>
      <c r="B47" s="9" t="s">
        <v>340</v>
      </c>
      <c r="C47" s="9" t="str">
        <f>IFERROR(INDEX('Employee Master'!$B$10:$B$109,MATCH(B47,'Employee Master'!$A$10:$A$109,0)),"")</f>
        <v/>
      </c>
      <c r="D47" s="9" t="str">
        <f>IFERROR(INDEX('Employee Master'!$H$10:$H$109,MATCH(B47,'Employee Master'!$A$10:$A$109,0)),"")</f>
        <v/>
      </c>
      <c r="E47" s="16">
        <v>2.5</v>
      </c>
      <c r="F47" s="16">
        <v>90</v>
      </c>
      <c r="G47" s="20">
        <f t="shared" si="1"/>
        <v>225</v>
      </c>
      <c r="H47" s="16" t="s">
        <v>80</v>
      </c>
      <c r="I47" s="9"/>
    </row>
    <row r="48" spans="1:9" x14ac:dyDescent="0.3">
      <c r="A48" s="18">
        <v>46260</v>
      </c>
      <c r="B48" s="9" t="s">
        <v>341</v>
      </c>
      <c r="C48" s="9" t="str">
        <f>IFERROR(INDEX('Employee Master'!$B$10:$B$109,MATCH(B48,'Employee Master'!$A$10:$A$109,0)),"")</f>
        <v/>
      </c>
      <c r="D48" s="9" t="str">
        <f>IFERROR(INDEX('Employee Master'!$H$10:$H$109,MATCH(B48,'Employee Master'!$A$10:$A$109,0)),"")</f>
        <v/>
      </c>
      <c r="E48" s="16">
        <v>1</v>
      </c>
      <c r="F48" s="16">
        <v>90</v>
      </c>
      <c r="G48" s="20">
        <f t="shared" si="1"/>
        <v>90</v>
      </c>
      <c r="H48" s="16" t="s">
        <v>205</v>
      </c>
      <c r="I48" s="9"/>
    </row>
    <row r="49" spans="1:9" x14ac:dyDescent="0.3">
      <c r="A49" s="18">
        <v>46258</v>
      </c>
      <c r="B49" s="9" t="s">
        <v>342</v>
      </c>
      <c r="C49" s="9" t="str">
        <f>IFERROR(INDEX('Employee Master'!$B$10:$B$109,MATCH(B49,'Employee Master'!$A$10:$A$109,0)),"")</f>
        <v/>
      </c>
      <c r="D49" s="9" t="str">
        <f>IFERROR(INDEX('Employee Master'!$H$10:$H$109,MATCH(B49,'Employee Master'!$A$10:$A$109,0)),"")</f>
        <v/>
      </c>
      <c r="E49" s="16">
        <v>3</v>
      </c>
      <c r="F49" s="16">
        <v>90</v>
      </c>
      <c r="G49" s="20">
        <f t="shared" si="1"/>
        <v>270</v>
      </c>
      <c r="H49" s="16" t="s">
        <v>80</v>
      </c>
      <c r="I49" s="9"/>
    </row>
    <row r="50" spans="1:9" x14ac:dyDescent="0.3">
      <c r="A50" s="18">
        <v>46259</v>
      </c>
      <c r="B50" s="9" t="s">
        <v>343</v>
      </c>
      <c r="C50" s="9" t="str">
        <f>IFERROR(INDEX('Employee Master'!$B$10:$B$109,MATCH(B50,'Employee Master'!$A$10:$A$109,0)),"")</f>
        <v/>
      </c>
      <c r="D50" s="9" t="str">
        <f>IFERROR(INDEX('Employee Master'!$H$10:$H$109,MATCH(B50,'Employee Master'!$A$10:$A$109,0)),"")</f>
        <v/>
      </c>
      <c r="E50" s="16">
        <v>1</v>
      </c>
      <c r="F50" s="16">
        <v>120</v>
      </c>
      <c r="G50" s="20">
        <f t="shared" si="1"/>
        <v>120</v>
      </c>
      <c r="H50" s="16" t="s">
        <v>205</v>
      </c>
      <c r="I50" s="9"/>
    </row>
    <row r="51" spans="1:9" x14ac:dyDescent="0.3">
      <c r="A51" s="18">
        <v>46258</v>
      </c>
      <c r="B51" s="9" t="s">
        <v>344</v>
      </c>
      <c r="C51" s="9" t="str">
        <f>IFERROR(INDEX('Employee Master'!$B$10:$B$109,MATCH(B51,'Employee Master'!$A$10:$A$109,0)),"")</f>
        <v/>
      </c>
      <c r="D51" s="9" t="str">
        <f>IFERROR(INDEX('Employee Master'!$H$10:$H$109,MATCH(B51,'Employee Master'!$A$10:$A$109,0)),"")</f>
        <v/>
      </c>
      <c r="E51" s="16">
        <v>3</v>
      </c>
      <c r="F51" s="16">
        <v>120</v>
      </c>
      <c r="G51" s="20">
        <f t="shared" si="1"/>
        <v>360</v>
      </c>
      <c r="H51" s="16" t="s">
        <v>80</v>
      </c>
      <c r="I51" s="9"/>
    </row>
    <row r="52" spans="1:9" x14ac:dyDescent="0.3">
      <c r="A52" s="18">
        <v>46253</v>
      </c>
      <c r="B52" s="9" t="s">
        <v>345</v>
      </c>
      <c r="C52" s="9" t="str">
        <f>IFERROR(INDEX('Employee Master'!$B$10:$B$109,MATCH(B52,'Employee Master'!$A$10:$A$109,0)),"")</f>
        <v/>
      </c>
      <c r="D52" s="9" t="str">
        <f>IFERROR(INDEX('Employee Master'!$H$10:$H$109,MATCH(B52,'Employee Master'!$A$10:$A$109,0)),"")</f>
        <v/>
      </c>
      <c r="E52" s="16">
        <v>2.5</v>
      </c>
      <c r="F52" s="16">
        <v>120</v>
      </c>
      <c r="G52" s="20">
        <f t="shared" si="1"/>
        <v>300</v>
      </c>
      <c r="H52" s="16" t="s">
        <v>205</v>
      </c>
      <c r="I52" s="9"/>
    </row>
    <row r="53" spans="1:9" x14ac:dyDescent="0.3">
      <c r="A53" s="18">
        <v>46260</v>
      </c>
      <c r="B53" s="9" t="s">
        <v>346</v>
      </c>
      <c r="C53" s="9" t="str">
        <f>IFERROR(INDEX('Employee Master'!$B$10:$B$109,MATCH(B53,'Employee Master'!$A$10:$A$109,0)),"")</f>
        <v/>
      </c>
      <c r="D53" s="9" t="str">
        <f>IFERROR(INDEX('Employee Master'!$H$10:$H$109,MATCH(B53,'Employee Master'!$A$10:$A$109,0)),"")</f>
        <v/>
      </c>
      <c r="E53" s="16">
        <v>1</v>
      </c>
      <c r="F53" s="16">
        <v>120</v>
      </c>
      <c r="G53" s="20">
        <f t="shared" si="1"/>
        <v>120</v>
      </c>
      <c r="H53" s="16" t="s">
        <v>205</v>
      </c>
      <c r="I53" s="9"/>
    </row>
    <row r="54" spans="1:9" x14ac:dyDescent="0.3">
      <c r="A54" s="18">
        <v>46259</v>
      </c>
      <c r="B54" s="9" t="s">
        <v>347</v>
      </c>
      <c r="C54" s="9" t="str">
        <f>IFERROR(INDEX('Employee Master'!$B$10:$B$109,MATCH(B54,'Employee Master'!$A$10:$A$109,0)),"")</f>
        <v/>
      </c>
      <c r="D54" s="9" t="str">
        <f>IFERROR(INDEX('Employee Master'!$H$10:$H$109,MATCH(B54,'Employee Master'!$A$10:$A$109,0)),"")</f>
        <v/>
      </c>
      <c r="E54" s="16">
        <v>1.5</v>
      </c>
      <c r="F54" s="16">
        <v>120</v>
      </c>
      <c r="G54" s="20">
        <f t="shared" si="1"/>
        <v>180</v>
      </c>
      <c r="H54" s="16" t="s">
        <v>205</v>
      </c>
      <c r="I54" s="9"/>
    </row>
    <row r="55" spans="1:9" x14ac:dyDescent="0.3">
      <c r="A55" s="18"/>
      <c r="B55" s="9"/>
      <c r="C55" s="9" t="str">
        <f>IFERROR(INDEX('Employee Master'!$B$10:$B$109,MATCH(B55,'Employee Master'!$A$10:$A$109,0)),"")</f>
        <v/>
      </c>
      <c r="D55" s="9" t="str">
        <f>IFERROR(INDEX('Employee Master'!$H$10:$H$109,MATCH(B55,'Employee Master'!$A$10:$A$109,0)),"")</f>
        <v/>
      </c>
      <c r="E55" s="16"/>
      <c r="F55" s="16">
        <v>0</v>
      </c>
      <c r="G55" s="20">
        <f t="shared" si="1"/>
        <v>0</v>
      </c>
      <c r="H55" s="16"/>
      <c r="I55" s="9"/>
    </row>
    <row r="56" spans="1:9" x14ac:dyDescent="0.3">
      <c r="A56" s="18"/>
      <c r="B56" s="9"/>
      <c r="C56" s="9" t="str">
        <f>IFERROR(INDEX('Employee Master'!$B$10:$B$109,MATCH(B56,'Employee Master'!$A$10:$A$109,0)),"")</f>
        <v/>
      </c>
      <c r="D56" s="9" t="str">
        <f>IFERROR(INDEX('Employee Master'!$H$10:$H$109,MATCH(B56,'Employee Master'!$A$10:$A$109,0)),"")</f>
        <v/>
      </c>
      <c r="E56" s="16"/>
      <c r="F56" s="16">
        <v>0</v>
      </c>
      <c r="G56" s="20">
        <f t="shared" si="1"/>
        <v>0</v>
      </c>
      <c r="H56" s="16"/>
      <c r="I56" s="9"/>
    </row>
    <row r="57" spans="1:9" x14ac:dyDescent="0.3">
      <c r="A57" s="18"/>
      <c r="B57" s="9"/>
      <c r="C57" s="9" t="str">
        <f>IFERROR(INDEX('Employee Master'!$B$10:$B$109,MATCH(B57,'Employee Master'!$A$10:$A$109,0)),"")</f>
        <v/>
      </c>
      <c r="D57" s="9" t="str">
        <f>IFERROR(INDEX('Employee Master'!$H$10:$H$109,MATCH(B57,'Employee Master'!$A$10:$A$109,0)),"")</f>
        <v/>
      </c>
      <c r="E57" s="16"/>
      <c r="F57" s="16">
        <v>0</v>
      </c>
      <c r="G57" s="20">
        <f t="shared" si="1"/>
        <v>0</v>
      </c>
      <c r="H57" s="16"/>
      <c r="I57" s="9"/>
    </row>
    <row r="58" spans="1:9" x14ac:dyDescent="0.3">
      <c r="A58" s="18"/>
      <c r="B58" s="9"/>
      <c r="C58" s="9" t="str">
        <f>IFERROR(INDEX('Employee Master'!$B$10:$B$109,MATCH(B58,'Employee Master'!$A$10:$A$109,0)),"")</f>
        <v/>
      </c>
      <c r="D58" s="9" t="str">
        <f>IFERROR(INDEX('Employee Master'!$H$10:$H$109,MATCH(B58,'Employee Master'!$A$10:$A$109,0)),"")</f>
        <v/>
      </c>
      <c r="E58" s="16"/>
      <c r="F58" s="16">
        <v>0</v>
      </c>
      <c r="G58" s="20">
        <f t="shared" si="1"/>
        <v>0</v>
      </c>
      <c r="H58" s="16"/>
      <c r="I58" s="9"/>
    </row>
    <row r="59" spans="1:9" x14ac:dyDescent="0.3">
      <c r="A59" s="18"/>
      <c r="B59" s="9"/>
      <c r="C59" s="9" t="str">
        <f>IFERROR(INDEX('Employee Master'!$B$10:$B$109,MATCH(B59,'Employee Master'!$A$10:$A$109,0)),"")</f>
        <v/>
      </c>
      <c r="D59" s="9" t="str">
        <f>IFERROR(INDEX('Employee Master'!$H$10:$H$109,MATCH(B59,'Employee Master'!$A$10:$A$109,0)),"")</f>
        <v/>
      </c>
      <c r="E59" s="16"/>
      <c r="F59" s="16">
        <v>0</v>
      </c>
      <c r="G59" s="20">
        <f t="shared" si="1"/>
        <v>0</v>
      </c>
      <c r="H59" s="16"/>
      <c r="I59" s="9"/>
    </row>
    <row r="60" spans="1:9" x14ac:dyDescent="0.3">
      <c r="A60" s="18"/>
      <c r="B60" s="9"/>
      <c r="C60" s="9" t="str">
        <f>IFERROR(INDEX('Employee Master'!$B$10:$B$109,MATCH(B60,'Employee Master'!$A$10:$A$109,0)),"")</f>
        <v/>
      </c>
      <c r="D60" s="9" t="str">
        <f>IFERROR(INDEX('Employee Master'!$H$10:$H$109,MATCH(B60,'Employee Master'!$A$10:$A$109,0)),"")</f>
        <v/>
      </c>
      <c r="E60" s="16"/>
      <c r="F60" s="16">
        <v>0</v>
      </c>
      <c r="G60" s="20">
        <f t="shared" si="1"/>
        <v>0</v>
      </c>
      <c r="H60" s="16"/>
      <c r="I60" s="9"/>
    </row>
    <row r="61" spans="1:9" x14ac:dyDescent="0.3">
      <c r="A61" s="18"/>
      <c r="B61" s="9"/>
      <c r="C61" s="9" t="str">
        <f>IFERROR(INDEX('Employee Master'!$B$10:$B$109,MATCH(B61,'Employee Master'!$A$10:$A$109,0)),"")</f>
        <v/>
      </c>
      <c r="D61" s="9" t="str">
        <f>IFERROR(INDEX('Employee Master'!$H$10:$H$109,MATCH(B61,'Employee Master'!$A$10:$A$109,0)),"")</f>
        <v/>
      </c>
      <c r="E61" s="16"/>
      <c r="F61" s="16">
        <v>0</v>
      </c>
      <c r="G61" s="20">
        <f t="shared" si="1"/>
        <v>0</v>
      </c>
      <c r="H61" s="16"/>
      <c r="I61" s="9"/>
    </row>
    <row r="62" spans="1:9" x14ac:dyDescent="0.3">
      <c r="A62" s="18"/>
      <c r="B62" s="9"/>
      <c r="C62" s="9" t="str">
        <f>IFERROR(INDEX('Employee Master'!$B$10:$B$109,MATCH(B62,'Employee Master'!$A$10:$A$109,0)),"")</f>
        <v/>
      </c>
      <c r="D62" s="9" t="str">
        <f>IFERROR(INDEX('Employee Master'!$H$10:$H$109,MATCH(B62,'Employee Master'!$A$10:$A$109,0)),"")</f>
        <v/>
      </c>
      <c r="E62" s="16"/>
      <c r="F62" s="16">
        <v>0</v>
      </c>
      <c r="G62" s="20">
        <f t="shared" si="1"/>
        <v>0</v>
      </c>
      <c r="H62" s="16"/>
      <c r="I62" s="9"/>
    </row>
    <row r="63" spans="1:9" x14ac:dyDescent="0.3">
      <c r="A63" s="18"/>
      <c r="B63" s="9"/>
      <c r="C63" s="9" t="str">
        <f>IFERROR(INDEX('Employee Master'!$B$10:$B$109,MATCH(B63,'Employee Master'!$A$10:$A$109,0)),"")</f>
        <v/>
      </c>
      <c r="D63" s="9" t="str">
        <f>IFERROR(INDEX('Employee Master'!$H$10:$H$109,MATCH(B63,'Employee Master'!$A$10:$A$109,0)),"")</f>
        <v/>
      </c>
      <c r="E63" s="16"/>
      <c r="F63" s="16">
        <v>0</v>
      </c>
      <c r="G63" s="20">
        <f t="shared" si="1"/>
        <v>0</v>
      </c>
      <c r="H63" s="16"/>
      <c r="I63" s="9"/>
    </row>
    <row r="64" spans="1:9" x14ac:dyDescent="0.3">
      <c r="A64" s="18"/>
      <c r="B64" s="9"/>
      <c r="C64" s="9" t="str">
        <f>IFERROR(INDEX('Employee Master'!$B$10:$B$109,MATCH(B64,'Employee Master'!$A$10:$A$109,0)),"")</f>
        <v/>
      </c>
      <c r="D64" s="9" t="str">
        <f>IFERROR(INDEX('Employee Master'!$H$10:$H$109,MATCH(B64,'Employee Master'!$A$10:$A$109,0)),"")</f>
        <v/>
      </c>
      <c r="E64" s="16"/>
      <c r="F64" s="16">
        <v>0</v>
      </c>
      <c r="G64" s="20">
        <f t="shared" si="1"/>
        <v>0</v>
      </c>
      <c r="H64" s="16"/>
      <c r="I64" s="9"/>
    </row>
    <row r="65" spans="1:9" x14ac:dyDescent="0.3">
      <c r="A65" s="18"/>
      <c r="B65" s="9"/>
      <c r="C65" s="9" t="str">
        <f>IFERROR(INDEX('Employee Master'!$B$10:$B$109,MATCH(B65,'Employee Master'!$A$10:$A$109,0)),"")</f>
        <v/>
      </c>
      <c r="D65" s="9" t="str">
        <f>IFERROR(INDEX('Employee Master'!$H$10:$H$109,MATCH(B65,'Employee Master'!$A$10:$A$109,0)),"")</f>
        <v/>
      </c>
      <c r="E65" s="16"/>
      <c r="F65" s="16">
        <v>0</v>
      </c>
      <c r="G65" s="20">
        <f t="shared" si="1"/>
        <v>0</v>
      </c>
      <c r="H65" s="16"/>
      <c r="I65" s="9"/>
    </row>
    <row r="66" spans="1:9" x14ac:dyDescent="0.3">
      <c r="A66" s="18"/>
      <c r="B66" s="9"/>
      <c r="C66" s="9" t="str">
        <f>IFERROR(INDEX('Employee Master'!$B$10:$B$109,MATCH(B66,'Employee Master'!$A$10:$A$109,0)),"")</f>
        <v/>
      </c>
      <c r="D66" s="9" t="str">
        <f>IFERROR(INDEX('Employee Master'!$H$10:$H$109,MATCH(B66,'Employee Master'!$A$10:$A$109,0)),"")</f>
        <v/>
      </c>
      <c r="E66" s="16"/>
      <c r="F66" s="16">
        <v>0</v>
      </c>
      <c r="G66" s="20">
        <f t="shared" si="1"/>
        <v>0</v>
      </c>
      <c r="H66" s="16"/>
      <c r="I66" s="9"/>
    </row>
    <row r="67" spans="1:9" x14ac:dyDescent="0.3">
      <c r="A67" s="18"/>
      <c r="B67" s="9"/>
      <c r="C67" s="9" t="str">
        <f>IFERROR(INDEX('Employee Master'!$B$10:$B$109,MATCH(B67,'Employee Master'!$A$10:$A$109,0)),"")</f>
        <v/>
      </c>
      <c r="D67" s="9" t="str">
        <f>IFERROR(INDEX('Employee Master'!$H$10:$H$109,MATCH(B67,'Employee Master'!$A$10:$A$109,0)),"")</f>
        <v/>
      </c>
      <c r="E67" s="16"/>
      <c r="F67" s="16">
        <v>0</v>
      </c>
      <c r="G67" s="20">
        <f t="shared" si="1"/>
        <v>0</v>
      </c>
      <c r="H67" s="16"/>
      <c r="I67" s="9"/>
    </row>
    <row r="68" spans="1:9" x14ac:dyDescent="0.3">
      <c r="A68" s="18"/>
      <c r="B68" s="9"/>
      <c r="C68" s="9" t="str">
        <f>IFERROR(INDEX('Employee Master'!$B$10:$B$109,MATCH(B68,'Employee Master'!$A$10:$A$109,0)),"")</f>
        <v/>
      </c>
      <c r="D68" s="9" t="str">
        <f>IFERROR(INDEX('Employee Master'!$H$10:$H$109,MATCH(B68,'Employee Master'!$A$10:$A$109,0)),"")</f>
        <v/>
      </c>
      <c r="E68" s="16"/>
      <c r="F68" s="16">
        <v>0</v>
      </c>
      <c r="G68" s="20">
        <f t="shared" si="1"/>
        <v>0</v>
      </c>
      <c r="H68" s="16"/>
      <c r="I68" s="9"/>
    </row>
    <row r="69" spans="1:9" x14ac:dyDescent="0.3">
      <c r="A69" s="18"/>
      <c r="B69" s="9"/>
      <c r="C69" s="9" t="str">
        <f>IFERROR(INDEX('Employee Master'!$B$10:$B$109,MATCH(B69,'Employee Master'!$A$10:$A$109,0)),"")</f>
        <v/>
      </c>
      <c r="D69" s="9" t="str">
        <f>IFERROR(INDEX('Employee Master'!$H$10:$H$109,MATCH(B69,'Employee Master'!$A$10:$A$109,0)),"")</f>
        <v/>
      </c>
      <c r="E69" s="16"/>
      <c r="F69" s="16">
        <v>0</v>
      </c>
      <c r="G69" s="20">
        <f t="shared" si="1"/>
        <v>0</v>
      </c>
      <c r="H69" s="16"/>
      <c r="I69" s="9"/>
    </row>
    <row r="70" spans="1:9" x14ac:dyDescent="0.3">
      <c r="A70" s="18"/>
      <c r="B70" s="9"/>
      <c r="C70" s="9" t="str">
        <f>IFERROR(INDEX('Employee Master'!$B$10:$B$109,MATCH(B70,'Employee Master'!$A$10:$A$109,0)),"")</f>
        <v/>
      </c>
      <c r="D70" s="9" t="str">
        <f>IFERROR(INDEX('Employee Master'!$H$10:$H$109,MATCH(B70,'Employee Master'!$A$10:$A$109,0)),"")</f>
        <v/>
      </c>
      <c r="E70" s="16"/>
      <c r="F70" s="16">
        <v>0</v>
      </c>
      <c r="G70" s="20">
        <f t="shared" si="1"/>
        <v>0</v>
      </c>
      <c r="H70" s="16"/>
      <c r="I70" s="9"/>
    </row>
    <row r="71" spans="1:9" x14ac:dyDescent="0.3">
      <c r="A71" s="18"/>
      <c r="B71" s="9"/>
      <c r="C71" s="9" t="str">
        <f>IFERROR(INDEX('Employee Master'!$B$10:$B$109,MATCH(B71,'Employee Master'!$A$10:$A$109,0)),"")</f>
        <v/>
      </c>
      <c r="D71" s="9" t="str">
        <f>IFERROR(INDEX('Employee Master'!$H$10:$H$109,MATCH(B71,'Employee Master'!$A$10:$A$109,0)),"")</f>
        <v/>
      </c>
      <c r="E71" s="16"/>
      <c r="F71" s="16">
        <v>0</v>
      </c>
      <c r="G71" s="20">
        <f t="shared" si="1"/>
        <v>0</v>
      </c>
      <c r="H71" s="16"/>
      <c r="I71" s="9"/>
    </row>
    <row r="72" spans="1:9" x14ac:dyDescent="0.3">
      <c r="A72" s="18"/>
      <c r="B72" s="9"/>
      <c r="C72" s="9" t="str">
        <f>IFERROR(INDEX('Employee Master'!$B$10:$B$109,MATCH(B72,'Employee Master'!$A$10:$A$109,0)),"")</f>
        <v/>
      </c>
      <c r="D72" s="9" t="str">
        <f>IFERROR(INDEX('Employee Master'!$H$10:$H$109,MATCH(B72,'Employee Master'!$A$10:$A$109,0)),"")</f>
        <v/>
      </c>
      <c r="E72" s="16"/>
      <c r="F72" s="16">
        <v>0</v>
      </c>
      <c r="G72" s="20">
        <f t="shared" si="1"/>
        <v>0</v>
      </c>
      <c r="H72" s="16"/>
      <c r="I72" s="9"/>
    </row>
    <row r="73" spans="1:9" x14ac:dyDescent="0.3">
      <c r="A73" s="18"/>
      <c r="B73" s="9"/>
      <c r="C73" s="9" t="str">
        <f>IFERROR(INDEX('Employee Master'!$B$10:$B$109,MATCH(B73,'Employee Master'!$A$10:$A$109,0)),"")</f>
        <v/>
      </c>
      <c r="D73" s="9" t="str">
        <f>IFERROR(INDEX('Employee Master'!$H$10:$H$109,MATCH(B73,'Employee Master'!$A$10:$A$109,0)),"")</f>
        <v/>
      </c>
      <c r="E73" s="16"/>
      <c r="F73" s="16">
        <v>0</v>
      </c>
      <c r="G73" s="20">
        <f t="shared" si="1"/>
        <v>0</v>
      </c>
      <c r="H73" s="16"/>
      <c r="I73" s="9"/>
    </row>
    <row r="74" spans="1:9" x14ac:dyDescent="0.3">
      <c r="A74" s="18"/>
      <c r="B74" s="9"/>
      <c r="C74" s="9" t="str">
        <f>IFERROR(INDEX('Employee Master'!$B$10:$B$109,MATCH(B74,'Employee Master'!$A$10:$A$109,0)),"")</f>
        <v/>
      </c>
      <c r="D74" s="9" t="str">
        <f>IFERROR(INDEX('Employee Master'!$H$10:$H$109,MATCH(B74,'Employee Master'!$A$10:$A$109,0)),"")</f>
        <v/>
      </c>
      <c r="E74" s="16"/>
      <c r="F74" s="16">
        <v>0</v>
      </c>
      <c r="G74" s="20">
        <f t="shared" ref="G74:G105" si="2">IFERROR(E74*F74,0)</f>
        <v>0</v>
      </c>
      <c r="H74" s="16"/>
      <c r="I74" s="9"/>
    </row>
    <row r="75" spans="1:9" x14ac:dyDescent="0.3">
      <c r="A75" s="18"/>
      <c r="B75" s="9"/>
      <c r="C75" s="9" t="str">
        <f>IFERROR(INDEX('Employee Master'!$B$10:$B$109,MATCH(B75,'Employee Master'!$A$10:$A$109,0)),"")</f>
        <v/>
      </c>
      <c r="D75" s="9" t="str">
        <f>IFERROR(INDEX('Employee Master'!$H$10:$H$109,MATCH(B75,'Employee Master'!$A$10:$A$109,0)),"")</f>
        <v/>
      </c>
      <c r="E75" s="16"/>
      <c r="F75" s="16">
        <v>0</v>
      </c>
      <c r="G75" s="20">
        <f t="shared" si="2"/>
        <v>0</v>
      </c>
      <c r="H75" s="16"/>
      <c r="I75" s="9"/>
    </row>
    <row r="76" spans="1:9" x14ac:dyDescent="0.3">
      <c r="A76" s="18"/>
      <c r="B76" s="9"/>
      <c r="C76" s="9" t="str">
        <f>IFERROR(INDEX('Employee Master'!$B$10:$B$109,MATCH(B76,'Employee Master'!$A$10:$A$109,0)),"")</f>
        <v/>
      </c>
      <c r="D76" s="9" t="str">
        <f>IFERROR(INDEX('Employee Master'!$H$10:$H$109,MATCH(B76,'Employee Master'!$A$10:$A$109,0)),"")</f>
        <v/>
      </c>
      <c r="E76" s="16"/>
      <c r="F76" s="16">
        <v>0</v>
      </c>
      <c r="G76" s="20">
        <f t="shared" si="2"/>
        <v>0</v>
      </c>
      <c r="H76" s="16"/>
      <c r="I76" s="9"/>
    </row>
    <row r="77" spans="1:9" x14ac:dyDescent="0.3">
      <c r="A77" s="18"/>
      <c r="B77" s="9"/>
      <c r="C77" s="9" t="str">
        <f>IFERROR(INDEX('Employee Master'!$B$10:$B$109,MATCH(B77,'Employee Master'!$A$10:$A$109,0)),"")</f>
        <v/>
      </c>
      <c r="D77" s="9" t="str">
        <f>IFERROR(INDEX('Employee Master'!$H$10:$H$109,MATCH(B77,'Employee Master'!$A$10:$A$109,0)),"")</f>
        <v/>
      </c>
      <c r="E77" s="16"/>
      <c r="F77" s="16">
        <v>0</v>
      </c>
      <c r="G77" s="20">
        <f t="shared" si="2"/>
        <v>0</v>
      </c>
      <c r="H77" s="16"/>
      <c r="I77" s="9"/>
    </row>
    <row r="78" spans="1:9" x14ac:dyDescent="0.3">
      <c r="A78" s="18"/>
      <c r="B78" s="9"/>
      <c r="C78" s="9" t="str">
        <f>IFERROR(INDEX('Employee Master'!$B$10:$B$109,MATCH(B78,'Employee Master'!$A$10:$A$109,0)),"")</f>
        <v/>
      </c>
      <c r="D78" s="9" t="str">
        <f>IFERROR(INDEX('Employee Master'!$H$10:$H$109,MATCH(B78,'Employee Master'!$A$10:$A$109,0)),"")</f>
        <v/>
      </c>
      <c r="E78" s="16"/>
      <c r="F78" s="16">
        <v>0</v>
      </c>
      <c r="G78" s="20">
        <f t="shared" si="2"/>
        <v>0</v>
      </c>
      <c r="H78" s="16"/>
      <c r="I78" s="9"/>
    </row>
    <row r="79" spans="1:9" x14ac:dyDescent="0.3">
      <c r="A79" s="18"/>
      <c r="B79" s="9"/>
      <c r="C79" s="9" t="str">
        <f>IFERROR(INDEX('Employee Master'!$B$10:$B$109,MATCH(B79,'Employee Master'!$A$10:$A$109,0)),"")</f>
        <v/>
      </c>
      <c r="D79" s="9" t="str">
        <f>IFERROR(INDEX('Employee Master'!$H$10:$H$109,MATCH(B79,'Employee Master'!$A$10:$A$109,0)),"")</f>
        <v/>
      </c>
      <c r="E79" s="16"/>
      <c r="F79" s="16">
        <v>0</v>
      </c>
      <c r="G79" s="20">
        <f t="shared" si="2"/>
        <v>0</v>
      </c>
      <c r="H79" s="16"/>
      <c r="I79" s="9"/>
    </row>
    <row r="80" spans="1:9" x14ac:dyDescent="0.3">
      <c r="A80" s="18"/>
      <c r="B80" s="9"/>
      <c r="C80" s="9" t="str">
        <f>IFERROR(INDEX('Employee Master'!$B$10:$B$109,MATCH(B80,'Employee Master'!$A$10:$A$109,0)),"")</f>
        <v/>
      </c>
      <c r="D80" s="9" t="str">
        <f>IFERROR(INDEX('Employee Master'!$H$10:$H$109,MATCH(B80,'Employee Master'!$A$10:$A$109,0)),"")</f>
        <v/>
      </c>
      <c r="E80" s="16"/>
      <c r="F80" s="16">
        <v>0</v>
      </c>
      <c r="G80" s="20">
        <f t="shared" si="2"/>
        <v>0</v>
      </c>
      <c r="H80" s="16"/>
      <c r="I80" s="9"/>
    </row>
    <row r="81" spans="1:9" x14ac:dyDescent="0.3">
      <c r="A81" s="18"/>
      <c r="B81" s="9"/>
      <c r="C81" s="9" t="str">
        <f>IFERROR(INDEX('Employee Master'!$B$10:$B$109,MATCH(B81,'Employee Master'!$A$10:$A$109,0)),"")</f>
        <v/>
      </c>
      <c r="D81" s="9" t="str">
        <f>IFERROR(INDEX('Employee Master'!$H$10:$H$109,MATCH(B81,'Employee Master'!$A$10:$A$109,0)),"")</f>
        <v/>
      </c>
      <c r="E81" s="16"/>
      <c r="F81" s="16">
        <v>0</v>
      </c>
      <c r="G81" s="20">
        <f t="shared" si="2"/>
        <v>0</v>
      </c>
      <c r="H81" s="16"/>
      <c r="I81" s="9"/>
    </row>
    <row r="82" spans="1:9" x14ac:dyDescent="0.3">
      <c r="A82" s="18"/>
      <c r="B82" s="9"/>
      <c r="C82" s="9" t="str">
        <f>IFERROR(INDEX('Employee Master'!$B$10:$B$109,MATCH(B82,'Employee Master'!$A$10:$A$109,0)),"")</f>
        <v/>
      </c>
      <c r="D82" s="9" t="str">
        <f>IFERROR(INDEX('Employee Master'!$H$10:$H$109,MATCH(B82,'Employee Master'!$A$10:$A$109,0)),"")</f>
        <v/>
      </c>
      <c r="E82" s="16"/>
      <c r="F82" s="16">
        <v>0</v>
      </c>
      <c r="G82" s="20">
        <f t="shared" si="2"/>
        <v>0</v>
      </c>
      <c r="H82" s="16"/>
      <c r="I82" s="9"/>
    </row>
    <row r="83" spans="1:9" x14ac:dyDescent="0.3">
      <c r="A83" s="18"/>
      <c r="B83" s="9"/>
      <c r="C83" s="9" t="str">
        <f>IFERROR(INDEX('Employee Master'!$B$10:$B$109,MATCH(B83,'Employee Master'!$A$10:$A$109,0)),"")</f>
        <v/>
      </c>
      <c r="D83" s="9" t="str">
        <f>IFERROR(INDEX('Employee Master'!$H$10:$H$109,MATCH(B83,'Employee Master'!$A$10:$A$109,0)),"")</f>
        <v/>
      </c>
      <c r="E83" s="16"/>
      <c r="F83" s="16">
        <v>0</v>
      </c>
      <c r="G83" s="20">
        <f t="shared" si="2"/>
        <v>0</v>
      </c>
      <c r="H83" s="16"/>
      <c r="I83" s="9"/>
    </row>
    <row r="84" spans="1:9" x14ac:dyDescent="0.3">
      <c r="A84" s="18"/>
      <c r="B84" s="9"/>
      <c r="C84" s="9" t="str">
        <f>IFERROR(INDEX('Employee Master'!$B$10:$B$109,MATCH(B84,'Employee Master'!$A$10:$A$109,0)),"")</f>
        <v/>
      </c>
      <c r="D84" s="9" t="str">
        <f>IFERROR(INDEX('Employee Master'!$H$10:$H$109,MATCH(B84,'Employee Master'!$A$10:$A$109,0)),"")</f>
        <v/>
      </c>
      <c r="E84" s="16"/>
      <c r="F84" s="16">
        <v>0</v>
      </c>
      <c r="G84" s="20">
        <f t="shared" si="2"/>
        <v>0</v>
      </c>
      <c r="H84" s="16"/>
      <c r="I84" s="9"/>
    </row>
    <row r="85" spans="1:9" x14ac:dyDescent="0.3">
      <c r="A85" s="18"/>
      <c r="B85" s="9"/>
      <c r="C85" s="9" t="str">
        <f>IFERROR(INDEX('Employee Master'!$B$10:$B$109,MATCH(B85,'Employee Master'!$A$10:$A$109,0)),"")</f>
        <v/>
      </c>
      <c r="D85" s="9" t="str">
        <f>IFERROR(INDEX('Employee Master'!$H$10:$H$109,MATCH(B85,'Employee Master'!$A$10:$A$109,0)),"")</f>
        <v/>
      </c>
      <c r="E85" s="16"/>
      <c r="F85" s="16">
        <v>0</v>
      </c>
      <c r="G85" s="20">
        <f t="shared" si="2"/>
        <v>0</v>
      </c>
      <c r="H85" s="16"/>
      <c r="I85" s="9"/>
    </row>
    <row r="86" spans="1:9" x14ac:dyDescent="0.3">
      <c r="A86" s="18"/>
      <c r="B86" s="9"/>
      <c r="C86" s="9" t="str">
        <f>IFERROR(INDEX('Employee Master'!$B$10:$B$109,MATCH(B86,'Employee Master'!$A$10:$A$109,0)),"")</f>
        <v/>
      </c>
      <c r="D86" s="9" t="str">
        <f>IFERROR(INDEX('Employee Master'!$H$10:$H$109,MATCH(B86,'Employee Master'!$A$10:$A$109,0)),"")</f>
        <v/>
      </c>
      <c r="E86" s="16"/>
      <c r="F86" s="16">
        <v>0</v>
      </c>
      <c r="G86" s="20">
        <f t="shared" si="2"/>
        <v>0</v>
      </c>
      <c r="H86" s="16"/>
      <c r="I86" s="9"/>
    </row>
    <row r="87" spans="1:9" x14ac:dyDescent="0.3">
      <c r="A87" s="18"/>
      <c r="B87" s="9"/>
      <c r="C87" s="9" t="str">
        <f>IFERROR(INDEX('Employee Master'!$B$10:$B$109,MATCH(B87,'Employee Master'!$A$10:$A$109,0)),"")</f>
        <v/>
      </c>
      <c r="D87" s="9" t="str">
        <f>IFERROR(INDEX('Employee Master'!$H$10:$H$109,MATCH(B87,'Employee Master'!$A$10:$A$109,0)),"")</f>
        <v/>
      </c>
      <c r="E87" s="16"/>
      <c r="F87" s="16">
        <v>0</v>
      </c>
      <c r="G87" s="20">
        <f t="shared" si="2"/>
        <v>0</v>
      </c>
      <c r="H87" s="16"/>
      <c r="I87" s="9"/>
    </row>
    <row r="88" spans="1:9" x14ac:dyDescent="0.3">
      <c r="A88" s="18"/>
      <c r="B88" s="9"/>
      <c r="C88" s="9" t="str">
        <f>IFERROR(INDEX('Employee Master'!$B$10:$B$109,MATCH(B88,'Employee Master'!$A$10:$A$109,0)),"")</f>
        <v/>
      </c>
      <c r="D88" s="9" t="str">
        <f>IFERROR(INDEX('Employee Master'!$H$10:$H$109,MATCH(B88,'Employee Master'!$A$10:$A$109,0)),"")</f>
        <v/>
      </c>
      <c r="E88" s="16"/>
      <c r="F88" s="16">
        <v>0</v>
      </c>
      <c r="G88" s="20">
        <f t="shared" si="2"/>
        <v>0</v>
      </c>
      <c r="H88" s="16"/>
      <c r="I88" s="9"/>
    </row>
    <row r="89" spans="1:9" x14ac:dyDescent="0.3">
      <c r="A89" s="18"/>
      <c r="B89" s="9"/>
      <c r="C89" s="9" t="str">
        <f>IFERROR(INDEX('Employee Master'!$B$10:$B$109,MATCH(B89,'Employee Master'!$A$10:$A$109,0)),"")</f>
        <v/>
      </c>
      <c r="D89" s="9" t="str">
        <f>IFERROR(INDEX('Employee Master'!$H$10:$H$109,MATCH(B89,'Employee Master'!$A$10:$A$109,0)),"")</f>
        <v/>
      </c>
      <c r="E89" s="16"/>
      <c r="F89" s="16">
        <v>0</v>
      </c>
      <c r="G89" s="20">
        <f t="shared" si="2"/>
        <v>0</v>
      </c>
      <c r="H89" s="16"/>
      <c r="I89" s="9"/>
    </row>
    <row r="90" spans="1:9" x14ac:dyDescent="0.3">
      <c r="A90" s="18"/>
      <c r="B90" s="9"/>
      <c r="C90" s="9" t="str">
        <f>IFERROR(INDEX('Employee Master'!$B$10:$B$109,MATCH(B90,'Employee Master'!$A$10:$A$109,0)),"")</f>
        <v/>
      </c>
      <c r="D90" s="9" t="str">
        <f>IFERROR(INDEX('Employee Master'!$H$10:$H$109,MATCH(B90,'Employee Master'!$A$10:$A$109,0)),"")</f>
        <v/>
      </c>
      <c r="E90" s="16"/>
      <c r="F90" s="16">
        <v>0</v>
      </c>
      <c r="G90" s="20">
        <f t="shared" si="2"/>
        <v>0</v>
      </c>
      <c r="H90" s="16"/>
      <c r="I90" s="9"/>
    </row>
    <row r="91" spans="1:9" x14ac:dyDescent="0.3">
      <c r="A91" s="18"/>
      <c r="B91" s="9"/>
      <c r="C91" s="9" t="str">
        <f>IFERROR(INDEX('Employee Master'!$B$10:$B$109,MATCH(B91,'Employee Master'!$A$10:$A$109,0)),"")</f>
        <v/>
      </c>
      <c r="D91" s="9" t="str">
        <f>IFERROR(INDEX('Employee Master'!$H$10:$H$109,MATCH(B91,'Employee Master'!$A$10:$A$109,0)),"")</f>
        <v/>
      </c>
      <c r="E91" s="16"/>
      <c r="F91" s="16">
        <v>0</v>
      </c>
      <c r="G91" s="20">
        <f t="shared" si="2"/>
        <v>0</v>
      </c>
      <c r="H91" s="16"/>
      <c r="I91" s="9"/>
    </row>
    <row r="92" spans="1:9" x14ac:dyDescent="0.3">
      <c r="A92" s="18"/>
      <c r="B92" s="9"/>
      <c r="C92" s="9" t="str">
        <f>IFERROR(INDEX('Employee Master'!$B$10:$B$109,MATCH(B92,'Employee Master'!$A$10:$A$109,0)),"")</f>
        <v/>
      </c>
      <c r="D92" s="9" t="str">
        <f>IFERROR(INDEX('Employee Master'!$H$10:$H$109,MATCH(B92,'Employee Master'!$A$10:$A$109,0)),"")</f>
        <v/>
      </c>
      <c r="E92" s="16"/>
      <c r="F92" s="16">
        <v>0</v>
      </c>
      <c r="G92" s="20">
        <f t="shared" si="2"/>
        <v>0</v>
      </c>
      <c r="H92" s="16"/>
      <c r="I92" s="9"/>
    </row>
    <row r="93" spans="1:9" x14ac:dyDescent="0.3">
      <c r="A93" s="18"/>
      <c r="B93" s="9"/>
      <c r="C93" s="9" t="str">
        <f>IFERROR(INDEX('Employee Master'!$B$10:$B$109,MATCH(B93,'Employee Master'!$A$10:$A$109,0)),"")</f>
        <v/>
      </c>
      <c r="D93" s="9" t="str">
        <f>IFERROR(INDEX('Employee Master'!$H$10:$H$109,MATCH(B93,'Employee Master'!$A$10:$A$109,0)),"")</f>
        <v/>
      </c>
      <c r="E93" s="16"/>
      <c r="F93" s="16">
        <v>0</v>
      </c>
      <c r="G93" s="20">
        <f t="shared" si="2"/>
        <v>0</v>
      </c>
      <c r="H93" s="16"/>
      <c r="I93" s="9"/>
    </row>
    <row r="94" spans="1:9" x14ac:dyDescent="0.3">
      <c r="A94" s="18"/>
      <c r="B94" s="9"/>
      <c r="C94" s="9" t="str">
        <f>IFERROR(INDEX('Employee Master'!$B$10:$B$109,MATCH(B94,'Employee Master'!$A$10:$A$109,0)),"")</f>
        <v/>
      </c>
      <c r="D94" s="9" t="str">
        <f>IFERROR(INDEX('Employee Master'!$H$10:$H$109,MATCH(B94,'Employee Master'!$A$10:$A$109,0)),"")</f>
        <v/>
      </c>
      <c r="E94" s="16"/>
      <c r="F94" s="16">
        <v>0</v>
      </c>
      <c r="G94" s="20">
        <f t="shared" si="2"/>
        <v>0</v>
      </c>
      <c r="H94" s="16"/>
      <c r="I94" s="9"/>
    </row>
    <row r="95" spans="1:9" x14ac:dyDescent="0.3">
      <c r="A95" s="18"/>
      <c r="B95" s="9"/>
      <c r="C95" s="9" t="str">
        <f>IFERROR(INDEX('Employee Master'!$B$10:$B$109,MATCH(B95,'Employee Master'!$A$10:$A$109,0)),"")</f>
        <v/>
      </c>
      <c r="D95" s="9" t="str">
        <f>IFERROR(INDEX('Employee Master'!$H$10:$H$109,MATCH(B95,'Employee Master'!$A$10:$A$109,0)),"")</f>
        <v/>
      </c>
      <c r="E95" s="16"/>
      <c r="F95" s="16">
        <v>0</v>
      </c>
      <c r="G95" s="20">
        <f t="shared" si="2"/>
        <v>0</v>
      </c>
      <c r="H95" s="16"/>
      <c r="I95" s="9"/>
    </row>
    <row r="96" spans="1:9" x14ac:dyDescent="0.3">
      <c r="A96" s="18"/>
      <c r="B96" s="9"/>
      <c r="C96" s="9" t="str">
        <f>IFERROR(INDEX('Employee Master'!$B$10:$B$109,MATCH(B96,'Employee Master'!$A$10:$A$109,0)),"")</f>
        <v/>
      </c>
      <c r="D96" s="9" t="str">
        <f>IFERROR(INDEX('Employee Master'!$H$10:$H$109,MATCH(B96,'Employee Master'!$A$10:$A$109,0)),"")</f>
        <v/>
      </c>
      <c r="E96" s="16"/>
      <c r="F96" s="16">
        <v>0</v>
      </c>
      <c r="G96" s="20">
        <f t="shared" si="2"/>
        <v>0</v>
      </c>
      <c r="H96" s="16"/>
      <c r="I96" s="9"/>
    </row>
    <row r="97" spans="1:9" x14ac:dyDescent="0.3">
      <c r="A97" s="18"/>
      <c r="B97" s="9"/>
      <c r="C97" s="9" t="str">
        <f>IFERROR(INDEX('Employee Master'!$B$10:$B$109,MATCH(B97,'Employee Master'!$A$10:$A$109,0)),"")</f>
        <v/>
      </c>
      <c r="D97" s="9" t="str">
        <f>IFERROR(INDEX('Employee Master'!$H$10:$H$109,MATCH(B97,'Employee Master'!$A$10:$A$109,0)),"")</f>
        <v/>
      </c>
      <c r="E97" s="16"/>
      <c r="F97" s="16">
        <v>0</v>
      </c>
      <c r="G97" s="20">
        <f t="shared" si="2"/>
        <v>0</v>
      </c>
      <c r="H97" s="16"/>
      <c r="I97" s="9"/>
    </row>
    <row r="98" spans="1:9" x14ac:dyDescent="0.3">
      <c r="A98" s="18"/>
      <c r="B98" s="9"/>
      <c r="C98" s="9" t="str">
        <f>IFERROR(INDEX('Employee Master'!$B$10:$B$109,MATCH(B98,'Employee Master'!$A$10:$A$109,0)),"")</f>
        <v/>
      </c>
      <c r="D98" s="9" t="str">
        <f>IFERROR(INDEX('Employee Master'!$H$10:$H$109,MATCH(B98,'Employee Master'!$A$10:$A$109,0)),"")</f>
        <v/>
      </c>
      <c r="E98" s="16"/>
      <c r="F98" s="16">
        <v>0</v>
      </c>
      <c r="G98" s="20">
        <f t="shared" si="2"/>
        <v>0</v>
      </c>
      <c r="H98" s="16"/>
      <c r="I98" s="9"/>
    </row>
    <row r="99" spans="1:9" x14ac:dyDescent="0.3">
      <c r="A99" s="18"/>
      <c r="B99" s="9"/>
      <c r="C99" s="9" t="str">
        <f>IFERROR(INDEX('Employee Master'!$B$10:$B$109,MATCH(B99,'Employee Master'!$A$10:$A$109,0)),"")</f>
        <v/>
      </c>
      <c r="D99" s="9" t="str">
        <f>IFERROR(INDEX('Employee Master'!$H$10:$H$109,MATCH(B99,'Employee Master'!$A$10:$A$109,0)),"")</f>
        <v/>
      </c>
      <c r="E99" s="16"/>
      <c r="F99" s="16">
        <v>0</v>
      </c>
      <c r="G99" s="20">
        <f t="shared" si="2"/>
        <v>0</v>
      </c>
      <c r="H99" s="16"/>
      <c r="I99" s="9"/>
    </row>
    <row r="100" spans="1:9" x14ac:dyDescent="0.3">
      <c r="A100" s="18"/>
      <c r="B100" s="9"/>
      <c r="C100" s="9" t="str">
        <f>IFERROR(INDEX('Employee Master'!$B$10:$B$109,MATCH(B100,'Employee Master'!$A$10:$A$109,0)),"")</f>
        <v/>
      </c>
      <c r="D100" s="9" t="str">
        <f>IFERROR(INDEX('Employee Master'!$H$10:$H$109,MATCH(B100,'Employee Master'!$A$10:$A$109,0)),"")</f>
        <v/>
      </c>
      <c r="E100" s="16"/>
      <c r="F100" s="16">
        <v>0</v>
      </c>
      <c r="G100" s="20">
        <f t="shared" si="2"/>
        <v>0</v>
      </c>
      <c r="H100" s="16"/>
      <c r="I100" s="9"/>
    </row>
    <row r="101" spans="1:9" x14ac:dyDescent="0.3">
      <c r="A101" s="18"/>
      <c r="B101" s="9"/>
      <c r="C101" s="9" t="str">
        <f>IFERROR(INDEX('Employee Master'!$B$10:$B$109,MATCH(B101,'Employee Master'!$A$10:$A$109,0)),"")</f>
        <v/>
      </c>
      <c r="D101" s="9" t="str">
        <f>IFERROR(INDEX('Employee Master'!$H$10:$H$109,MATCH(B101,'Employee Master'!$A$10:$A$109,0)),"")</f>
        <v/>
      </c>
      <c r="E101" s="16"/>
      <c r="F101" s="16">
        <v>0</v>
      </c>
      <c r="G101" s="20">
        <f t="shared" si="2"/>
        <v>0</v>
      </c>
      <c r="H101" s="16"/>
      <c r="I101" s="9"/>
    </row>
    <row r="102" spans="1:9" x14ac:dyDescent="0.3">
      <c r="A102" s="18"/>
      <c r="B102" s="9"/>
      <c r="C102" s="9" t="str">
        <f>IFERROR(INDEX('Employee Master'!$B$10:$B$109,MATCH(B102,'Employee Master'!$A$10:$A$109,0)),"")</f>
        <v/>
      </c>
      <c r="D102" s="9" t="str">
        <f>IFERROR(INDEX('Employee Master'!$H$10:$H$109,MATCH(B102,'Employee Master'!$A$10:$A$109,0)),"")</f>
        <v/>
      </c>
      <c r="E102" s="16"/>
      <c r="F102" s="16">
        <v>0</v>
      </c>
      <c r="G102" s="20">
        <f t="shared" si="2"/>
        <v>0</v>
      </c>
      <c r="H102" s="16"/>
      <c r="I102" s="9"/>
    </row>
    <row r="103" spans="1:9" x14ac:dyDescent="0.3">
      <c r="A103" s="18"/>
      <c r="B103" s="9"/>
      <c r="C103" s="9" t="str">
        <f>IFERROR(INDEX('Employee Master'!$B$10:$B$109,MATCH(B103,'Employee Master'!$A$10:$A$109,0)),"")</f>
        <v/>
      </c>
      <c r="D103" s="9" t="str">
        <f>IFERROR(INDEX('Employee Master'!$H$10:$H$109,MATCH(B103,'Employee Master'!$A$10:$A$109,0)),"")</f>
        <v/>
      </c>
      <c r="E103" s="16"/>
      <c r="F103" s="16">
        <v>0</v>
      </c>
      <c r="G103" s="20">
        <f t="shared" si="2"/>
        <v>0</v>
      </c>
      <c r="H103" s="16"/>
      <c r="I103" s="9"/>
    </row>
    <row r="104" spans="1:9" x14ac:dyDescent="0.3">
      <c r="A104" s="18"/>
      <c r="B104" s="9"/>
      <c r="C104" s="9" t="str">
        <f>IFERROR(INDEX('Employee Master'!$B$10:$B$109,MATCH(B104,'Employee Master'!$A$10:$A$109,0)),"")</f>
        <v/>
      </c>
      <c r="D104" s="9" t="str">
        <f>IFERROR(INDEX('Employee Master'!$H$10:$H$109,MATCH(B104,'Employee Master'!$A$10:$A$109,0)),"")</f>
        <v/>
      </c>
      <c r="E104" s="16"/>
      <c r="F104" s="16">
        <v>0</v>
      </c>
      <c r="G104" s="20">
        <f t="shared" si="2"/>
        <v>0</v>
      </c>
      <c r="H104" s="16"/>
      <c r="I104" s="9"/>
    </row>
    <row r="105" spans="1:9" x14ac:dyDescent="0.3">
      <c r="A105" s="18"/>
      <c r="B105" s="9"/>
      <c r="C105" s="9" t="str">
        <f>IFERROR(INDEX('Employee Master'!$B$10:$B$109,MATCH(B105,'Employee Master'!$A$10:$A$109,0)),"")</f>
        <v/>
      </c>
      <c r="D105" s="9" t="str">
        <f>IFERROR(INDEX('Employee Master'!$H$10:$H$109,MATCH(B105,'Employee Master'!$A$10:$A$109,0)),"")</f>
        <v/>
      </c>
      <c r="E105" s="16"/>
      <c r="F105" s="16">
        <v>0</v>
      </c>
      <c r="G105" s="20">
        <f t="shared" si="2"/>
        <v>0</v>
      </c>
      <c r="H105" s="16"/>
      <c r="I105" s="9"/>
    </row>
    <row r="106" spans="1:9" x14ac:dyDescent="0.3">
      <c r="A106" s="18"/>
      <c r="B106" s="9"/>
      <c r="C106" s="9" t="str">
        <f>IFERROR(INDEX('Employee Master'!$B$10:$B$109,MATCH(B106,'Employee Master'!$A$10:$A$109,0)),"")</f>
        <v/>
      </c>
      <c r="D106" s="9" t="str">
        <f>IFERROR(INDEX('Employee Master'!$H$10:$H$109,MATCH(B106,'Employee Master'!$A$10:$A$109,0)),"")</f>
        <v/>
      </c>
      <c r="E106" s="16"/>
      <c r="F106" s="16">
        <v>0</v>
      </c>
      <c r="G106" s="20">
        <f t="shared" ref="G106:G137" si="3">IFERROR(E106*F106,0)</f>
        <v>0</v>
      </c>
      <c r="H106" s="16"/>
      <c r="I106" s="9"/>
    </row>
    <row r="107" spans="1:9" x14ac:dyDescent="0.3">
      <c r="A107" s="18"/>
      <c r="B107" s="9"/>
      <c r="C107" s="9" t="str">
        <f>IFERROR(INDEX('Employee Master'!$B$10:$B$109,MATCH(B107,'Employee Master'!$A$10:$A$109,0)),"")</f>
        <v/>
      </c>
      <c r="D107" s="9" t="str">
        <f>IFERROR(INDEX('Employee Master'!$H$10:$H$109,MATCH(B107,'Employee Master'!$A$10:$A$109,0)),"")</f>
        <v/>
      </c>
      <c r="E107" s="16"/>
      <c r="F107" s="16">
        <v>0</v>
      </c>
      <c r="G107" s="20">
        <f t="shared" si="3"/>
        <v>0</v>
      </c>
      <c r="H107" s="16"/>
      <c r="I107" s="9"/>
    </row>
    <row r="108" spans="1:9" x14ac:dyDescent="0.3">
      <c r="A108" s="18"/>
      <c r="B108" s="9"/>
      <c r="C108" s="9" t="str">
        <f>IFERROR(INDEX('Employee Master'!$B$10:$B$109,MATCH(B108,'Employee Master'!$A$10:$A$109,0)),"")</f>
        <v/>
      </c>
      <c r="D108" s="9" t="str">
        <f>IFERROR(INDEX('Employee Master'!$H$10:$H$109,MATCH(B108,'Employee Master'!$A$10:$A$109,0)),"")</f>
        <v/>
      </c>
      <c r="E108" s="16"/>
      <c r="F108" s="16">
        <v>0</v>
      </c>
      <c r="G108" s="20">
        <f t="shared" si="3"/>
        <v>0</v>
      </c>
      <c r="H108" s="16"/>
      <c r="I108" s="9"/>
    </row>
    <row r="109" spans="1:9" x14ac:dyDescent="0.3">
      <c r="A109" s="18"/>
      <c r="B109" s="9"/>
      <c r="C109" s="9" t="str">
        <f>IFERROR(INDEX('Employee Master'!$B$10:$B$109,MATCH(B109,'Employee Master'!$A$10:$A$109,0)),"")</f>
        <v/>
      </c>
      <c r="D109" s="9" t="str">
        <f>IFERROR(INDEX('Employee Master'!$H$10:$H$109,MATCH(B109,'Employee Master'!$A$10:$A$109,0)),"")</f>
        <v/>
      </c>
      <c r="E109" s="16"/>
      <c r="F109" s="16">
        <v>0</v>
      </c>
      <c r="G109" s="20">
        <f t="shared" si="3"/>
        <v>0</v>
      </c>
      <c r="H109" s="16"/>
      <c r="I109" s="9"/>
    </row>
    <row r="110" spans="1:9" x14ac:dyDescent="0.3">
      <c r="A110" s="18"/>
      <c r="B110" s="9"/>
      <c r="C110" s="9" t="str">
        <f>IFERROR(INDEX('Employee Master'!$B$10:$B$109,MATCH(B110,'Employee Master'!$A$10:$A$109,0)),"")</f>
        <v/>
      </c>
      <c r="D110" s="9" t="str">
        <f>IFERROR(INDEX('Employee Master'!$H$10:$H$109,MATCH(B110,'Employee Master'!$A$10:$A$109,0)),"")</f>
        <v/>
      </c>
      <c r="E110" s="16"/>
      <c r="F110" s="16">
        <v>0</v>
      </c>
      <c r="G110" s="20">
        <f t="shared" si="3"/>
        <v>0</v>
      </c>
      <c r="H110" s="16"/>
      <c r="I110" s="9"/>
    </row>
    <row r="111" spans="1:9" x14ac:dyDescent="0.3">
      <c r="A111" s="18"/>
      <c r="B111" s="9"/>
      <c r="C111" s="9" t="str">
        <f>IFERROR(INDEX('Employee Master'!$B$10:$B$109,MATCH(B111,'Employee Master'!$A$10:$A$109,0)),"")</f>
        <v/>
      </c>
      <c r="D111" s="9" t="str">
        <f>IFERROR(INDEX('Employee Master'!$H$10:$H$109,MATCH(B111,'Employee Master'!$A$10:$A$109,0)),"")</f>
        <v/>
      </c>
      <c r="E111" s="16"/>
      <c r="F111" s="16">
        <v>0</v>
      </c>
      <c r="G111" s="20">
        <f t="shared" si="3"/>
        <v>0</v>
      </c>
      <c r="H111" s="16"/>
      <c r="I111" s="9"/>
    </row>
    <row r="112" spans="1:9" x14ac:dyDescent="0.3">
      <c r="A112" s="18"/>
      <c r="B112" s="9"/>
      <c r="C112" s="9" t="str">
        <f>IFERROR(INDEX('Employee Master'!$B$10:$B$109,MATCH(B112,'Employee Master'!$A$10:$A$109,0)),"")</f>
        <v/>
      </c>
      <c r="D112" s="9" t="str">
        <f>IFERROR(INDEX('Employee Master'!$H$10:$H$109,MATCH(B112,'Employee Master'!$A$10:$A$109,0)),"")</f>
        <v/>
      </c>
      <c r="E112" s="16"/>
      <c r="F112" s="16">
        <v>0</v>
      </c>
      <c r="G112" s="20">
        <f t="shared" si="3"/>
        <v>0</v>
      </c>
      <c r="H112" s="16"/>
      <c r="I112" s="9"/>
    </row>
    <row r="113" spans="1:9" x14ac:dyDescent="0.3">
      <c r="A113" s="18"/>
      <c r="B113" s="9"/>
      <c r="C113" s="9" t="str">
        <f>IFERROR(INDEX('Employee Master'!$B$10:$B$109,MATCH(B113,'Employee Master'!$A$10:$A$109,0)),"")</f>
        <v/>
      </c>
      <c r="D113" s="9" t="str">
        <f>IFERROR(INDEX('Employee Master'!$H$10:$H$109,MATCH(B113,'Employee Master'!$A$10:$A$109,0)),"")</f>
        <v/>
      </c>
      <c r="E113" s="16"/>
      <c r="F113" s="16">
        <v>0</v>
      </c>
      <c r="G113" s="20">
        <f t="shared" si="3"/>
        <v>0</v>
      </c>
      <c r="H113" s="16"/>
      <c r="I113" s="9"/>
    </row>
    <row r="114" spans="1:9" x14ac:dyDescent="0.3">
      <c r="A114" s="18"/>
      <c r="B114" s="9"/>
      <c r="C114" s="9" t="str">
        <f>IFERROR(INDEX('Employee Master'!$B$10:$B$109,MATCH(B114,'Employee Master'!$A$10:$A$109,0)),"")</f>
        <v/>
      </c>
      <c r="D114" s="9" t="str">
        <f>IFERROR(INDEX('Employee Master'!$H$10:$H$109,MATCH(B114,'Employee Master'!$A$10:$A$109,0)),"")</f>
        <v/>
      </c>
      <c r="E114" s="16"/>
      <c r="F114" s="16">
        <v>0</v>
      </c>
      <c r="G114" s="20">
        <f t="shared" si="3"/>
        <v>0</v>
      </c>
      <c r="H114" s="16"/>
      <c r="I114" s="9"/>
    </row>
    <row r="115" spans="1:9" x14ac:dyDescent="0.3">
      <c r="A115" s="18"/>
      <c r="B115" s="9"/>
      <c r="C115" s="9" t="str">
        <f>IFERROR(INDEX('Employee Master'!$B$10:$B$109,MATCH(B115,'Employee Master'!$A$10:$A$109,0)),"")</f>
        <v/>
      </c>
      <c r="D115" s="9" t="str">
        <f>IFERROR(INDEX('Employee Master'!$H$10:$H$109,MATCH(B115,'Employee Master'!$A$10:$A$109,0)),"")</f>
        <v/>
      </c>
      <c r="E115" s="16"/>
      <c r="F115" s="16">
        <v>0</v>
      </c>
      <c r="G115" s="20">
        <f t="shared" si="3"/>
        <v>0</v>
      </c>
      <c r="H115" s="16"/>
      <c r="I115" s="9"/>
    </row>
    <row r="116" spans="1:9" x14ac:dyDescent="0.3">
      <c r="A116" s="18"/>
      <c r="B116" s="9"/>
      <c r="C116" s="9" t="str">
        <f>IFERROR(INDEX('Employee Master'!$B$10:$B$109,MATCH(B116,'Employee Master'!$A$10:$A$109,0)),"")</f>
        <v/>
      </c>
      <c r="D116" s="9" t="str">
        <f>IFERROR(INDEX('Employee Master'!$H$10:$H$109,MATCH(B116,'Employee Master'!$A$10:$A$109,0)),"")</f>
        <v/>
      </c>
      <c r="E116" s="16"/>
      <c r="F116" s="16">
        <v>0</v>
      </c>
      <c r="G116" s="20">
        <f t="shared" si="3"/>
        <v>0</v>
      </c>
      <c r="H116" s="16"/>
      <c r="I116" s="9"/>
    </row>
    <row r="117" spans="1:9" x14ac:dyDescent="0.3">
      <c r="A117" s="18"/>
      <c r="B117" s="9"/>
      <c r="C117" s="9" t="str">
        <f>IFERROR(INDEX('Employee Master'!$B$10:$B$109,MATCH(B117,'Employee Master'!$A$10:$A$109,0)),"")</f>
        <v/>
      </c>
      <c r="D117" s="9" t="str">
        <f>IFERROR(INDEX('Employee Master'!$H$10:$H$109,MATCH(B117,'Employee Master'!$A$10:$A$109,0)),"")</f>
        <v/>
      </c>
      <c r="E117" s="16"/>
      <c r="F117" s="16">
        <v>0</v>
      </c>
      <c r="G117" s="20">
        <f t="shared" si="3"/>
        <v>0</v>
      </c>
      <c r="H117" s="16"/>
      <c r="I117" s="9"/>
    </row>
    <row r="118" spans="1:9" x14ac:dyDescent="0.3">
      <c r="A118" s="18"/>
      <c r="B118" s="9"/>
      <c r="C118" s="9" t="str">
        <f>IFERROR(INDEX('Employee Master'!$B$10:$B$109,MATCH(B118,'Employee Master'!$A$10:$A$109,0)),"")</f>
        <v/>
      </c>
      <c r="D118" s="9" t="str">
        <f>IFERROR(INDEX('Employee Master'!$H$10:$H$109,MATCH(B118,'Employee Master'!$A$10:$A$109,0)),"")</f>
        <v/>
      </c>
      <c r="E118" s="16"/>
      <c r="F118" s="16">
        <v>0</v>
      </c>
      <c r="G118" s="20">
        <f t="shared" si="3"/>
        <v>0</v>
      </c>
      <c r="H118" s="16"/>
      <c r="I118" s="9"/>
    </row>
    <row r="119" spans="1:9" x14ac:dyDescent="0.3">
      <c r="A119" s="18"/>
      <c r="B119" s="9"/>
      <c r="C119" s="9" t="str">
        <f>IFERROR(INDEX('Employee Master'!$B$10:$B$109,MATCH(B119,'Employee Master'!$A$10:$A$109,0)),"")</f>
        <v/>
      </c>
      <c r="D119" s="9" t="str">
        <f>IFERROR(INDEX('Employee Master'!$H$10:$H$109,MATCH(B119,'Employee Master'!$A$10:$A$109,0)),"")</f>
        <v/>
      </c>
      <c r="E119" s="16"/>
      <c r="F119" s="16">
        <v>0</v>
      </c>
      <c r="G119" s="20">
        <f t="shared" si="3"/>
        <v>0</v>
      </c>
      <c r="H119" s="16"/>
      <c r="I119" s="9"/>
    </row>
    <row r="120" spans="1:9" x14ac:dyDescent="0.3">
      <c r="A120" s="18"/>
      <c r="B120" s="9"/>
      <c r="C120" s="9" t="str">
        <f>IFERROR(INDEX('Employee Master'!$B$10:$B$109,MATCH(B120,'Employee Master'!$A$10:$A$109,0)),"")</f>
        <v/>
      </c>
      <c r="D120" s="9" t="str">
        <f>IFERROR(INDEX('Employee Master'!$H$10:$H$109,MATCH(B120,'Employee Master'!$A$10:$A$109,0)),"")</f>
        <v/>
      </c>
      <c r="E120" s="16"/>
      <c r="F120" s="16">
        <v>0</v>
      </c>
      <c r="G120" s="20">
        <f t="shared" si="3"/>
        <v>0</v>
      </c>
      <c r="H120" s="16"/>
      <c r="I120" s="9"/>
    </row>
    <row r="121" spans="1:9" x14ac:dyDescent="0.3">
      <c r="A121" s="18"/>
      <c r="B121" s="9"/>
      <c r="C121" s="9" t="str">
        <f>IFERROR(INDEX('Employee Master'!$B$10:$B$109,MATCH(B121,'Employee Master'!$A$10:$A$109,0)),"")</f>
        <v/>
      </c>
      <c r="D121" s="9" t="str">
        <f>IFERROR(INDEX('Employee Master'!$H$10:$H$109,MATCH(B121,'Employee Master'!$A$10:$A$109,0)),"")</f>
        <v/>
      </c>
      <c r="E121" s="16"/>
      <c r="F121" s="16">
        <v>0</v>
      </c>
      <c r="G121" s="20">
        <f t="shared" si="3"/>
        <v>0</v>
      </c>
      <c r="H121" s="16"/>
      <c r="I121" s="9"/>
    </row>
    <row r="122" spans="1:9" x14ac:dyDescent="0.3">
      <c r="A122" s="18"/>
      <c r="B122" s="9"/>
      <c r="C122" s="9" t="str">
        <f>IFERROR(INDEX('Employee Master'!$B$10:$B$109,MATCH(B122,'Employee Master'!$A$10:$A$109,0)),"")</f>
        <v/>
      </c>
      <c r="D122" s="9" t="str">
        <f>IFERROR(INDEX('Employee Master'!$H$10:$H$109,MATCH(B122,'Employee Master'!$A$10:$A$109,0)),"")</f>
        <v/>
      </c>
      <c r="E122" s="16"/>
      <c r="F122" s="16">
        <v>0</v>
      </c>
      <c r="G122" s="20">
        <f t="shared" si="3"/>
        <v>0</v>
      </c>
      <c r="H122" s="16"/>
      <c r="I122" s="9"/>
    </row>
    <row r="123" spans="1:9" x14ac:dyDescent="0.3">
      <c r="A123" s="18"/>
      <c r="B123" s="9"/>
      <c r="C123" s="9" t="str">
        <f>IFERROR(INDEX('Employee Master'!$B$10:$B$109,MATCH(B123,'Employee Master'!$A$10:$A$109,0)),"")</f>
        <v/>
      </c>
      <c r="D123" s="9" t="str">
        <f>IFERROR(INDEX('Employee Master'!$H$10:$H$109,MATCH(B123,'Employee Master'!$A$10:$A$109,0)),"")</f>
        <v/>
      </c>
      <c r="E123" s="16"/>
      <c r="F123" s="16">
        <v>0</v>
      </c>
      <c r="G123" s="20">
        <f t="shared" si="3"/>
        <v>0</v>
      </c>
      <c r="H123" s="16"/>
      <c r="I123" s="9"/>
    </row>
    <row r="124" spans="1:9" x14ac:dyDescent="0.3">
      <c r="A124" s="18"/>
      <c r="B124" s="9"/>
      <c r="C124" s="9" t="str">
        <f>IFERROR(INDEX('Employee Master'!$B$10:$B$109,MATCH(B124,'Employee Master'!$A$10:$A$109,0)),"")</f>
        <v/>
      </c>
      <c r="D124" s="9" t="str">
        <f>IFERROR(INDEX('Employee Master'!$H$10:$H$109,MATCH(B124,'Employee Master'!$A$10:$A$109,0)),"")</f>
        <v/>
      </c>
      <c r="E124" s="16"/>
      <c r="F124" s="16">
        <v>0</v>
      </c>
      <c r="G124" s="20">
        <f t="shared" si="3"/>
        <v>0</v>
      </c>
      <c r="H124" s="16"/>
      <c r="I124" s="9"/>
    </row>
    <row r="125" spans="1:9" x14ac:dyDescent="0.3">
      <c r="A125" s="18"/>
      <c r="B125" s="9"/>
      <c r="C125" s="9" t="str">
        <f>IFERROR(INDEX('Employee Master'!$B$10:$B$109,MATCH(B125,'Employee Master'!$A$10:$A$109,0)),"")</f>
        <v/>
      </c>
      <c r="D125" s="9" t="str">
        <f>IFERROR(INDEX('Employee Master'!$H$10:$H$109,MATCH(B125,'Employee Master'!$A$10:$A$109,0)),"")</f>
        <v/>
      </c>
      <c r="E125" s="16"/>
      <c r="F125" s="16">
        <v>0</v>
      </c>
      <c r="G125" s="20">
        <f t="shared" si="3"/>
        <v>0</v>
      </c>
      <c r="H125" s="16"/>
      <c r="I125" s="9"/>
    </row>
    <row r="126" spans="1:9" x14ac:dyDescent="0.3">
      <c r="A126" s="18"/>
      <c r="B126" s="9"/>
      <c r="C126" s="9" t="str">
        <f>IFERROR(INDEX('Employee Master'!$B$10:$B$109,MATCH(B126,'Employee Master'!$A$10:$A$109,0)),"")</f>
        <v/>
      </c>
      <c r="D126" s="9" t="str">
        <f>IFERROR(INDEX('Employee Master'!$H$10:$H$109,MATCH(B126,'Employee Master'!$A$10:$A$109,0)),"")</f>
        <v/>
      </c>
      <c r="E126" s="16"/>
      <c r="F126" s="16">
        <v>0</v>
      </c>
      <c r="G126" s="20">
        <f t="shared" si="3"/>
        <v>0</v>
      </c>
      <c r="H126" s="16"/>
      <c r="I126" s="9"/>
    </row>
    <row r="127" spans="1:9" x14ac:dyDescent="0.3">
      <c r="A127" s="18"/>
      <c r="B127" s="9"/>
      <c r="C127" s="9" t="str">
        <f>IFERROR(INDEX('Employee Master'!$B$10:$B$109,MATCH(B127,'Employee Master'!$A$10:$A$109,0)),"")</f>
        <v/>
      </c>
      <c r="D127" s="9" t="str">
        <f>IFERROR(INDEX('Employee Master'!$H$10:$H$109,MATCH(B127,'Employee Master'!$A$10:$A$109,0)),"")</f>
        <v/>
      </c>
      <c r="E127" s="16"/>
      <c r="F127" s="16">
        <v>0</v>
      </c>
      <c r="G127" s="20">
        <f t="shared" si="3"/>
        <v>0</v>
      </c>
      <c r="H127" s="16"/>
      <c r="I127" s="9"/>
    </row>
    <row r="128" spans="1:9" x14ac:dyDescent="0.3">
      <c r="A128" s="18"/>
      <c r="B128" s="9"/>
      <c r="C128" s="9" t="str">
        <f>IFERROR(INDEX('Employee Master'!$B$10:$B$109,MATCH(B128,'Employee Master'!$A$10:$A$109,0)),"")</f>
        <v/>
      </c>
      <c r="D128" s="9" t="str">
        <f>IFERROR(INDEX('Employee Master'!$H$10:$H$109,MATCH(B128,'Employee Master'!$A$10:$A$109,0)),"")</f>
        <v/>
      </c>
      <c r="E128" s="16"/>
      <c r="F128" s="16">
        <v>0</v>
      </c>
      <c r="G128" s="20">
        <f t="shared" si="3"/>
        <v>0</v>
      </c>
      <c r="H128" s="16"/>
      <c r="I128" s="9"/>
    </row>
    <row r="129" spans="1:9" x14ac:dyDescent="0.3">
      <c r="A129" s="18"/>
      <c r="B129" s="9"/>
      <c r="C129" s="9" t="str">
        <f>IFERROR(INDEX('Employee Master'!$B$10:$B$109,MATCH(B129,'Employee Master'!$A$10:$A$109,0)),"")</f>
        <v/>
      </c>
      <c r="D129" s="9" t="str">
        <f>IFERROR(INDEX('Employee Master'!$H$10:$H$109,MATCH(B129,'Employee Master'!$A$10:$A$109,0)),"")</f>
        <v/>
      </c>
      <c r="E129" s="16"/>
      <c r="F129" s="16">
        <v>0</v>
      </c>
      <c r="G129" s="20">
        <f t="shared" si="3"/>
        <v>0</v>
      </c>
      <c r="H129" s="16"/>
      <c r="I129" s="9"/>
    </row>
    <row r="130" spans="1:9" x14ac:dyDescent="0.3">
      <c r="A130" s="18"/>
      <c r="B130" s="9"/>
      <c r="C130" s="9" t="str">
        <f>IFERROR(INDEX('Employee Master'!$B$10:$B$109,MATCH(B130,'Employee Master'!$A$10:$A$109,0)),"")</f>
        <v/>
      </c>
      <c r="D130" s="9" t="str">
        <f>IFERROR(INDEX('Employee Master'!$H$10:$H$109,MATCH(B130,'Employee Master'!$A$10:$A$109,0)),"")</f>
        <v/>
      </c>
      <c r="E130" s="16"/>
      <c r="F130" s="16">
        <v>0</v>
      </c>
      <c r="G130" s="20">
        <f t="shared" si="3"/>
        <v>0</v>
      </c>
      <c r="H130" s="16"/>
      <c r="I130" s="9"/>
    </row>
    <row r="131" spans="1:9" x14ac:dyDescent="0.3">
      <c r="A131" s="18"/>
      <c r="B131" s="9"/>
      <c r="C131" s="9" t="str">
        <f>IFERROR(INDEX('Employee Master'!$B$10:$B$109,MATCH(B131,'Employee Master'!$A$10:$A$109,0)),"")</f>
        <v/>
      </c>
      <c r="D131" s="9" t="str">
        <f>IFERROR(INDEX('Employee Master'!$H$10:$H$109,MATCH(B131,'Employee Master'!$A$10:$A$109,0)),"")</f>
        <v/>
      </c>
      <c r="E131" s="16"/>
      <c r="F131" s="16">
        <v>0</v>
      </c>
      <c r="G131" s="20">
        <f t="shared" si="3"/>
        <v>0</v>
      </c>
      <c r="H131" s="16"/>
      <c r="I131" s="9"/>
    </row>
    <row r="132" spans="1:9" x14ac:dyDescent="0.3">
      <c r="A132" s="18"/>
      <c r="B132" s="9"/>
      <c r="C132" s="9" t="str">
        <f>IFERROR(INDEX('Employee Master'!$B$10:$B$109,MATCH(B132,'Employee Master'!$A$10:$A$109,0)),"")</f>
        <v/>
      </c>
      <c r="D132" s="9" t="str">
        <f>IFERROR(INDEX('Employee Master'!$H$10:$H$109,MATCH(B132,'Employee Master'!$A$10:$A$109,0)),"")</f>
        <v/>
      </c>
      <c r="E132" s="16"/>
      <c r="F132" s="16">
        <v>0</v>
      </c>
      <c r="G132" s="20">
        <f t="shared" si="3"/>
        <v>0</v>
      </c>
      <c r="H132" s="16"/>
      <c r="I132" s="9"/>
    </row>
    <row r="133" spans="1:9" x14ac:dyDescent="0.3">
      <c r="A133" s="18"/>
      <c r="B133" s="9"/>
      <c r="C133" s="9" t="str">
        <f>IFERROR(INDEX('Employee Master'!$B$10:$B$109,MATCH(B133,'Employee Master'!$A$10:$A$109,0)),"")</f>
        <v/>
      </c>
      <c r="D133" s="9" t="str">
        <f>IFERROR(INDEX('Employee Master'!$H$10:$H$109,MATCH(B133,'Employee Master'!$A$10:$A$109,0)),"")</f>
        <v/>
      </c>
      <c r="E133" s="16"/>
      <c r="F133" s="16">
        <v>0</v>
      </c>
      <c r="G133" s="20">
        <f t="shared" si="3"/>
        <v>0</v>
      </c>
      <c r="H133" s="16"/>
      <c r="I133" s="9"/>
    </row>
    <row r="134" spans="1:9" x14ac:dyDescent="0.3">
      <c r="A134" s="18"/>
      <c r="B134" s="9"/>
      <c r="C134" s="9" t="str">
        <f>IFERROR(INDEX('Employee Master'!$B$10:$B$109,MATCH(B134,'Employee Master'!$A$10:$A$109,0)),"")</f>
        <v/>
      </c>
      <c r="D134" s="9" t="str">
        <f>IFERROR(INDEX('Employee Master'!$H$10:$H$109,MATCH(B134,'Employee Master'!$A$10:$A$109,0)),"")</f>
        <v/>
      </c>
      <c r="E134" s="16"/>
      <c r="F134" s="16">
        <v>0</v>
      </c>
      <c r="G134" s="20">
        <f t="shared" si="3"/>
        <v>0</v>
      </c>
      <c r="H134" s="16"/>
      <c r="I134" s="9"/>
    </row>
    <row r="135" spans="1:9" x14ac:dyDescent="0.3">
      <c r="A135" s="18"/>
      <c r="B135" s="9"/>
      <c r="C135" s="9" t="str">
        <f>IFERROR(INDEX('Employee Master'!$B$10:$B$109,MATCH(B135,'Employee Master'!$A$10:$A$109,0)),"")</f>
        <v/>
      </c>
      <c r="D135" s="9" t="str">
        <f>IFERROR(INDEX('Employee Master'!$H$10:$H$109,MATCH(B135,'Employee Master'!$A$10:$A$109,0)),"")</f>
        <v/>
      </c>
      <c r="E135" s="16"/>
      <c r="F135" s="16">
        <v>0</v>
      </c>
      <c r="G135" s="20">
        <f t="shared" si="3"/>
        <v>0</v>
      </c>
      <c r="H135" s="16"/>
      <c r="I135" s="9"/>
    </row>
    <row r="136" spans="1:9" x14ac:dyDescent="0.3">
      <c r="A136" s="18"/>
      <c r="B136" s="9"/>
      <c r="C136" s="9" t="str">
        <f>IFERROR(INDEX('Employee Master'!$B$10:$B$109,MATCH(B136,'Employee Master'!$A$10:$A$109,0)),"")</f>
        <v/>
      </c>
      <c r="D136" s="9" t="str">
        <f>IFERROR(INDEX('Employee Master'!$H$10:$H$109,MATCH(B136,'Employee Master'!$A$10:$A$109,0)),"")</f>
        <v/>
      </c>
      <c r="E136" s="16"/>
      <c r="F136" s="16">
        <v>0</v>
      </c>
      <c r="G136" s="20">
        <f t="shared" si="3"/>
        <v>0</v>
      </c>
      <c r="H136" s="16"/>
      <c r="I136" s="9"/>
    </row>
    <row r="137" spans="1:9" x14ac:dyDescent="0.3">
      <c r="A137" s="18"/>
      <c r="B137" s="9"/>
      <c r="C137" s="9" t="str">
        <f>IFERROR(INDEX('Employee Master'!$B$10:$B$109,MATCH(B137,'Employee Master'!$A$10:$A$109,0)),"")</f>
        <v/>
      </c>
      <c r="D137" s="9" t="str">
        <f>IFERROR(INDEX('Employee Master'!$H$10:$H$109,MATCH(B137,'Employee Master'!$A$10:$A$109,0)),"")</f>
        <v/>
      </c>
      <c r="E137" s="16"/>
      <c r="F137" s="16">
        <v>0</v>
      </c>
      <c r="G137" s="20">
        <f t="shared" si="3"/>
        <v>0</v>
      </c>
      <c r="H137" s="16"/>
      <c r="I137" s="9"/>
    </row>
    <row r="138" spans="1:9" x14ac:dyDescent="0.3">
      <c r="A138" s="18"/>
      <c r="B138" s="9"/>
      <c r="C138" s="9" t="str">
        <f>IFERROR(INDEX('Employee Master'!$B$10:$B$109,MATCH(B138,'Employee Master'!$A$10:$A$109,0)),"")</f>
        <v/>
      </c>
      <c r="D138" s="9" t="str">
        <f>IFERROR(INDEX('Employee Master'!$H$10:$H$109,MATCH(B138,'Employee Master'!$A$10:$A$109,0)),"")</f>
        <v/>
      </c>
      <c r="E138" s="16"/>
      <c r="F138" s="16">
        <v>0</v>
      </c>
      <c r="G138" s="20">
        <f t="shared" ref="G138:G169" si="4">IFERROR(E138*F138,0)</f>
        <v>0</v>
      </c>
      <c r="H138" s="16"/>
      <c r="I138" s="9"/>
    </row>
    <row r="139" spans="1:9" x14ac:dyDescent="0.3">
      <c r="A139" s="18"/>
      <c r="B139" s="9"/>
      <c r="C139" s="9" t="str">
        <f>IFERROR(INDEX('Employee Master'!$B$10:$B$109,MATCH(B139,'Employee Master'!$A$10:$A$109,0)),"")</f>
        <v/>
      </c>
      <c r="D139" s="9" t="str">
        <f>IFERROR(INDEX('Employee Master'!$H$10:$H$109,MATCH(B139,'Employee Master'!$A$10:$A$109,0)),"")</f>
        <v/>
      </c>
      <c r="E139" s="16"/>
      <c r="F139" s="16">
        <v>0</v>
      </c>
      <c r="G139" s="20">
        <f t="shared" si="4"/>
        <v>0</v>
      </c>
      <c r="H139" s="16"/>
      <c r="I139" s="9"/>
    </row>
    <row r="140" spans="1:9" x14ac:dyDescent="0.3">
      <c r="A140" s="18"/>
      <c r="B140" s="9"/>
      <c r="C140" s="9" t="str">
        <f>IFERROR(INDEX('Employee Master'!$B$10:$B$109,MATCH(B140,'Employee Master'!$A$10:$A$109,0)),"")</f>
        <v/>
      </c>
      <c r="D140" s="9" t="str">
        <f>IFERROR(INDEX('Employee Master'!$H$10:$H$109,MATCH(B140,'Employee Master'!$A$10:$A$109,0)),"")</f>
        <v/>
      </c>
      <c r="E140" s="16"/>
      <c r="F140" s="16">
        <v>0</v>
      </c>
      <c r="G140" s="20">
        <f t="shared" si="4"/>
        <v>0</v>
      </c>
      <c r="H140" s="16"/>
      <c r="I140" s="9"/>
    </row>
    <row r="141" spans="1:9" x14ac:dyDescent="0.3">
      <c r="A141" s="18"/>
      <c r="B141" s="9"/>
      <c r="C141" s="9" t="str">
        <f>IFERROR(INDEX('Employee Master'!$B$10:$B$109,MATCH(B141,'Employee Master'!$A$10:$A$109,0)),"")</f>
        <v/>
      </c>
      <c r="D141" s="9" t="str">
        <f>IFERROR(INDEX('Employee Master'!$H$10:$H$109,MATCH(B141,'Employee Master'!$A$10:$A$109,0)),"")</f>
        <v/>
      </c>
      <c r="E141" s="16"/>
      <c r="F141" s="16">
        <v>0</v>
      </c>
      <c r="G141" s="20">
        <f t="shared" si="4"/>
        <v>0</v>
      </c>
      <c r="H141" s="16"/>
      <c r="I141" s="9"/>
    </row>
    <row r="142" spans="1:9" x14ac:dyDescent="0.3">
      <c r="A142" s="18"/>
      <c r="B142" s="9"/>
      <c r="C142" s="9" t="str">
        <f>IFERROR(INDEX('Employee Master'!$B$10:$B$109,MATCH(B142,'Employee Master'!$A$10:$A$109,0)),"")</f>
        <v/>
      </c>
      <c r="D142" s="9" t="str">
        <f>IFERROR(INDEX('Employee Master'!$H$10:$H$109,MATCH(B142,'Employee Master'!$A$10:$A$109,0)),"")</f>
        <v/>
      </c>
      <c r="E142" s="16"/>
      <c r="F142" s="16">
        <v>0</v>
      </c>
      <c r="G142" s="20">
        <f t="shared" si="4"/>
        <v>0</v>
      </c>
      <c r="H142" s="16"/>
      <c r="I142" s="9"/>
    </row>
    <row r="143" spans="1:9" x14ac:dyDescent="0.3">
      <c r="A143" s="18"/>
      <c r="B143" s="9"/>
      <c r="C143" s="9" t="str">
        <f>IFERROR(INDEX('Employee Master'!$B$10:$B$109,MATCH(B143,'Employee Master'!$A$10:$A$109,0)),"")</f>
        <v/>
      </c>
      <c r="D143" s="9" t="str">
        <f>IFERROR(INDEX('Employee Master'!$H$10:$H$109,MATCH(B143,'Employee Master'!$A$10:$A$109,0)),"")</f>
        <v/>
      </c>
      <c r="E143" s="16"/>
      <c r="F143" s="16">
        <v>0</v>
      </c>
      <c r="G143" s="20">
        <f t="shared" si="4"/>
        <v>0</v>
      </c>
      <c r="H143" s="16"/>
      <c r="I143" s="9"/>
    </row>
    <row r="144" spans="1:9" x14ac:dyDescent="0.3">
      <c r="A144" s="18"/>
      <c r="B144" s="9"/>
      <c r="C144" s="9" t="str">
        <f>IFERROR(INDEX('Employee Master'!$B$10:$B$109,MATCH(B144,'Employee Master'!$A$10:$A$109,0)),"")</f>
        <v/>
      </c>
      <c r="D144" s="9" t="str">
        <f>IFERROR(INDEX('Employee Master'!$H$10:$H$109,MATCH(B144,'Employee Master'!$A$10:$A$109,0)),"")</f>
        <v/>
      </c>
      <c r="E144" s="16"/>
      <c r="F144" s="16">
        <v>0</v>
      </c>
      <c r="G144" s="20">
        <f t="shared" si="4"/>
        <v>0</v>
      </c>
      <c r="H144" s="16"/>
      <c r="I144" s="9"/>
    </row>
    <row r="145" spans="1:9" x14ac:dyDescent="0.3">
      <c r="A145" s="18"/>
      <c r="B145" s="9"/>
      <c r="C145" s="9" t="str">
        <f>IFERROR(INDEX('Employee Master'!$B$10:$B$109,MATCH(B145,'Employee Master'!$A$10:$A$109,0)),"")</f>
        <v/>
      </c>
      <c r="D145" s="9" t="str">
        <f>IFERROR(INDEX('Employee Master'!$H$10:$H$109,MATCH(B145,'Employee Master'!$A$10:$A$109,0)),"")</f>
        <v/>
      </c>
      <c r="E145" s="16"/>
      <c r="F145" s="16">
        <v>0</v>
      </c>
      <c r="G145" s="20">
        <f t="shared" si="4"/>
        <v>0</v>
      </c>
      <c r="H145" s="16"/>
      <c r="I145" s="9"/>
    </row>
    <row r="146" spans="1:9" x14ac:dyDescent="0.3">
      <c r="A146" s="18"/>
      <c r="B146" s="9"/>
      <c r="C146" s="9" t="str">
        <f>IFERROR(INDEX('Employee Master'!$B$10:$B$109,MATCH(B146,'Employee Master'!$A$10:$A$109,0)),"")</f>
        <v/>
      </c>
      <c r="D146" s="9" t="str">
        <f>IFERROR(INDEX('Employee Master'!$H$10:$H$109,MATCH(B146,'Employee Master'!$A$10:$A$109,0)),"")</f>
        <v/>
      </c>
      <c r="E146" s="16"/>
      <c r="F146" s="16">
        <v>0</v>
      </c>
      <c r="G146" s="20">
        <f t="shared" si="4"/>
        <v>0</v>
      </c>
      <c r="H146" s="16"/>
      <c r="I146" s="9"/>
    </row>
    <row r="147" spans="1:9" x14ac:dyDescent="0.3">
      <c r="A147" s="18"/>
      <c r="B147" s="9"/>
      <c r="C147" s="9" t="str">
        <f>IFERROR(INDEX('Employee Master'!$B$10:$B$109,MATCH(B147,'Employee Master'!$A$10:$A$109,0)),"")</f>
        <v/>
      </c>
      <c r="D147" s="9" t="str">
        <f>IFERROR(INDEX('Employee Master'!$H$10:$H$109,MATCH(B147,'Employee Master'!$A$10:$A$109,0)),"")</f>
        <v/>
      </c>
      <c r="E147" s="16"/>
      <c r="F147" s="16">
        <v>0</v>
      </c>
      <c r="G147" s="20">
        <f t="shared" si="4"/>
        <v>0</v>
      </c>
      <c r="H147" s="16"/>
      <c r="I147" s="9"/>
    </row>
    <row r="148" spans="1:9" x14ac:dyDescent="0.3">
      <c r="A148" s="18"/>
      <c r="B148" s="9"/>
      <c r="C148" s="9" t="str">
        <f>IFERROR(INDEX('Employee Master'!$B$10:$B$109,MATCH(B148,'Employee Master'!$A$10:$A$109,0)),"")</f>
        <v/>
      </c>
      <c r="D148" s="9" t="str">
        <f>IFERROR(INDEX('Employee Master'!$H$10:$H$109,MATCH(B148,'Employee Master'!$A$10:$A$109,0)),"")</f>
        <v/>
      </c>
      <c r="E148" s="16"/>
      <c r="F148" s="16">
        <v>0</v>
      </c>
      <c r="G148" s="20">
        <f t="shared" si="4"/>
        <v>0</v>
      </c>
      <c r="H148" s="16"/>
      <c r="I148" s="9"/>
    </row>
    <row r="149" spans="1:9" x14ac:dyDescent="0.3">
      <c r="A149" s="18"/>
      <c r="B149" s="9"/>
      <c r="C149" s="9" t="str">
        <f>IFERROR(INDEX('Employee Master'!$B$10:$B$109,MATCH(B149,'Employee Master'!$A$10:$A$109,0)),"")</f>
        <v/>
      </c>
      <c r="D149" s="9" t="str">
        <f>IFERROR(INDEX('Employee Master'!$H$10:$H$109,MATCH(B149,'Employee Master'!$A$10:$A$109,0)),"")</f>
        <v/>
      </c>
      <c r="E149" s="16"/>
      <c r="F149" s="16">
        <v>0</v>
      </c>
      <c r="G149" s="20">
        <f t="shared" si="4"/>
        <v>0</v>
      </c>
      <c r="H149" s="16"/>
      <c r="I149" s="9"/>
    </row>
    <row r="150" spans="1:9" x14ac:dyDescent="0.3">
      <c r="A150" s="18"/>
      <c r="B150" s="9"/>
      <c r="C150" s="9" t="str">
        <f>IFERROR(INDEX('Employee Master'!$B$10:$B$109,MATCH(B150,'Employee Master'!$A$10:$A$109,0)),"")</f>
        <v/>
      </c>
      <c r="D150" s="9" t="str">
        <f>IFERROR(INDEX('Employee Master'!$H$10:$H$109,MATCH(B150,'Employee Master'!$A$10:$A$109,0)),"")</f>
        <v/>
      </c>
      <c r="E150" s="16"/>
      <c r="F150" s="16">
        <v>0</v>
      </c>
      <c r="G150" s="20">
        <f t="shared" si="4"/>
        <v>0</v>
      </c>
      <c r="H150" s="16"/>
      <c r="I150" s="9"/>
    </row>
    <row r="151" spans="1:9" x14ac:dyDescent="0.3">
      <c r="A151" s="18"/>
      <c r="B151" s="9"/>
      <c r="C151" s="9" t="str">
        <f>IFERROR(INDEX('Employee Master'!$B$10:$B$109,MATCH(B151,'Employee Master'!$A$10:$A$109,0)),"")</f>
        <v/>
      </c>
      <c r="D151" s="9" t="str">
        <f>IFERROR(INDEX('Employee Master'!$H$10:$H$109,MATCH(B151,'Employee Master'!$A$10:$A$109,0)),"")</f>
        <v/>
      </c>
      <c r="E151" s="16"/>
      <c r="F151" s="16">
        <v>0</v>
      </c>
      <c r="G151" s="20">
        <f t="shared" si="4"/>
        <v>0</v>
      </c>
      <c r="H151" s="16"/>
      <c r="I151" s="9"/>
    </row>
    <row r="152" spans="1:9" x14ac:dyDescent="0.3">
      <c r="A152" s="18"/>
      <c r="B152" s="9"/>
      <c r="C152" s="9" t="str">
        <f>IFERROR(INDEX('Employee Master'!$B$10:$B$109,MATCH(B152,'Employee Master'!$A$10:$A$109,0)),"")</f>
        <v/>
      </c>
      <c r="D152" s="9" t="str">
        <f>IFERROR(INDEX('Employee Master'!$H$10:$H$109,MATCH(B152,'Employee Master'!$A$10:$A$109,0)),"")</f>
        <v/>
      </c>
      <c r="E152" s="16"/>
      <c r="F152" s="16">
        <v>0</v>
      </c>
      <c r="G152" s="20">
        <f t="shared" si="4"/>
        <v>0</v>
      </c>
      <c r="H152" s="16"/>
      <c r="I152" s="9"/>
    </row>
    <row r="153" spans="1:9" x14ac:dyDescent="0.3">
      <c r="A153" s="18"/>
      <c r="B153" s="9"/>
      <c r="C153" s="9" t="str">
        <f>IFERROR(INDEX('Employee Master'!$B$10:$B$109,MATCH(B153,'Employee Master'!$A$10:$A$109,0)),"")</f>
        <v/>
      </c>
      <c r="D153" s="9" t="str">
        <f>IFERROR(INDEX('Employee Master'!$H$10:$H$109,MATCH(B153,'Employee Master'!$A$10:$A$109,0)),"")</f>
        <v/>
      </c>
      <c r="E153" s="16"/>
      <c r="F153" s="16">
        <v>0</v>
      </c>
      <c r="G153" s="20">
        <f t="shared" si="4"/>
        <v>0</v>
      </c>
      <c r="H153" s="16"/>
      <c r="I153" s="9"/>
    </row>
    <row r="154" spans="1:9" x14ac:dyDescent="0.3">
      <c r="A154" s="18"/>
      <c r="B154" s="9"/>
      <c r="C154" s="9" t="str">
        <f>IFERROR(INDEX('Employee Master'!$B$10:$B$109,MATCH(B154,'Employee Master'!$A$10:$A$109,0)),"")</f>
        <v/>
      </c>
      <c r="D154" s="9" t="str">
        <f>IFERROR(INDEX('Employee Master'!$H$10:$H$109,MATCH(B154,'Employee Master'!$A$10:$A$109,0)),"")</f>
        <v/>
      </c>
      <c r="E154" s="16"/>
      <c r="F154" s="16">
        <v>0</v>
      </c>
      <c r="G154" s="20">
        <f t="shared" si="4"/>
        <v>0</v>
      </c>
      <c r="H154" s="16"/>
      <c r="I154" s="9"/>
    </row>
    <row r="155" spans="1:9" x14ac:dyDescent="0.3">
      <c r="A155" s="18"/>
      <c r="B155" s="9"/>
      <c r="C155" s="9" t="str">
        <f>IFERROR(INDEX('Employee Master'!$B$10:$B$109,MATCH(B155,'Employee Master'!$A$10:$A$109,0)),"")</f>
        <v/>
      </c>
      <c r="D155" s="9" t="str">
        <f>IFERROR(INDEX('Employee Master'!$H$10:$H$109,MATCH(B155,'Employee Master'!$A$10:$A$109,0)),"")</f>
        <v/>
      </c>
      <c r="E155" s="16"/>
      <c r="F155" s="16">
        <v>0</v>
      </c>
      <c r="G155" s="20">
        <f t="shared" si="4"/>
        <v>0</v>
      </c>
      <c r="H155" s="16"/>
      <c r="I155" s="9"/>
    </row>
    <row r="156" spans="1:9" x14ac:dyDescent="0.3">
      <c r="A156" s="18"/>
      <c r="B156" s="9"/>
      <c r="C156" s="9" t="str">
        <f>IFERROR(INDEX('Employee Master'!$B$10:$B$109,MATCH(B156,'Employee Master'!$A$10:$A$109,0)),"")</f>
        <v/>
      </c>
      <c r="D156" s="9" t="str">
        <f>IFERROR(INDEX('Employee Master'!$H$10:$H$109,MATCH(B156,'Employee Master'!$A$10:$A$109,0)),"")</f>
        <v/>
      </c>
      <c r="E156" s="16"/>
      <c r="F156" s="16">
        <v>0</v>
      </c>
      <c r="G156" s="20">
        <f t="shared" si="4"/>
        <v>0</v>
      </c>
      <c r="H156" s="16"/>
      <c r="I156" s="9"/>
    </row>
    <row r="157" spans="1:9" x14ac:dyDescent="0.3">
      <c r="A157" s="18"/>
      <c r="B157" s="9"/>
      <c r="C157" s="9" t="str">
        <f>IFERROR(INDEX('Employee Master'!$B$10:$B$109,MATCH(B157,'Employee Master'!$A$10:$A$109,0)),"")</f>
        <v/>
      </c>
      <c r="D157" s="9" t="str">
        <f>IFERROR(INDEX('Employee Master'!$H$10:$H$109,MATCH(B157,'Employee Master'!$A$10:$A$109,0)),"")</f>
        <v/>
      </c>
      <c r="E157" s="16"/>
      <c r="F157" s="16">
        <v>0</v>
      </c>
      <c r="G157" s="20">
        <f t="shared" si="4"/>
        <v>0</v>
      </c>
      <c r="H157" s="16"/>
      <c r="I157" s="9"/>
    </row>
    <row r="158" spans="1:9" x14ac:dyDescent="0.3">
      <c r="A158" s="18"/>
      <c r="B158" s="9"/>
      <c r="C158" s="9" t="str">
        <f>IFERROR(INDEX('Employee Master'!$B$10:$B$109,MATCH(B158,'Employee Master'!$A$10:$A$109,0)),"")</f>
        <v/>
      </c>
      <c r="D158" s="9" t="str">
        <f>IFERROR(INDEX('Employee Master'!$H$10:$H$109,MATCH(B158,'Employee Master'!$A$10:$A$109,0)),"")</f>
        <v/>
      </c>
      <c r="E158" s="16"/>
      <c r="F158" s="16">
        <v>0</v>
      </c>
      <c r="G158" s="20">
        <f t="shared" si="4"/>
        <v>0</v>
      </c>
      <c r="H158" s="16"/>
      <c r="I158" s="9"/>
    </row>
    <row r="159" spans="1:9" x14ac:dyDescent="0.3">
      <c r="A159" s="18"/>
      <c r="B159" s="9"/>
      <c r="C159" s="9" t="str">
        <f>IFERROR(INDEX('Employee Master'!$B$10:$B$109,MATCH(B159,'Employee Master'!$A$10:$A$109,0)),"")</f>
        <v/>
      </c>
      <c r="D159" s="9" t="str">
        <f>IFERROR(INDEX('Employee Master'!$H$10:$H$109,MATCH(B159,'Employee Master'!$A$10:$A$109,0)),"")</f>
        <v/>
      </c>
      <c r="E159" s="16"/>
      <c r="F159" s="16">
        <v>0</v>
      </c>
      <c r="G159" s="20">
        <f t="shared" si="4"/>
        <v>0</v>
      </c>
      <c r="H159" s="16"/>
      <c r="I159" s="9"/>
    </row>
    <row r="160" spans="1:9" x14ac:dyDescent="0.3">
      <c r="A160" s="18"/>
      <c r="B160" s="9"/>
      <c r="C160" s="9" t="str">
        <f>IFERROR(INDEX('Employee Master'!$B$10:$B$109,MATCH(B160,'Employee Master'!$A$10:$A$109,0)),"")</f>
        <v/>
      </c>
      <c r="D160" s="9" t="str">
        <f>IFERROR(INDEX('Employee Master'!$H$10:$H$109,MATCH(B160,'Employee Master'!$A$10:$A$109,0)),"")</f>
        <v/>
      </c>
      <c r="E160" s="16"/>
      <c r="F160" s="16">
        <v>0</v>
      </c>
      <c r="G160" s="20">
        <f t="shared" si="4"/>
        <v>0</v>
      </c>
      <c r="H160" s="16"/>
      <c r="I160" s="9"/>
    </row>
    <row r="161" spans="1:9" x14ac:dyDescent="0.3">
      <c r="A161" s="18"/>
      <c r="B161" s="9"/>
      <c r="C161" s="9" t="str">
        <f>IFERROR(INDEX('Employee Master'!$B$10:$B$109,MATCH(B161,'Employee Master'!$A$10:$A$109,0)),"")</f>
        <v/>
      </c>
      <c r="D161" s="9" t="str">
        <f>IFERROR(INDEX('Employee Master'!$H$10:$H$109,MATCH(B161,'Employee Master'!$A$10:$A$109,0)),"")</f>
        <v/>
      </c>
      <c r="E161" s="16"/>
      <c r="F161" s="16">
        <v>0</v>
      </c>
      <c r="G161" s="20">
        <f t="shared" si="4"/>
        <v>0</v>
      </c>
      <c r="H161" s="16"/>
      <c r="I161" s="9"/>
    </row>
    <row r="162" spans="1:9" x14ac:dyDescent="0.3">
      <c r="A162" s="18"/>
      <c r="B162" s="9"/>
      <c r="C162" s="9" t="str">
        <f>IFERROR(INDEX('Employee Master'!$B$10:$B$109,MATCH(B162,'Employee Master'!$A$10:$A$109,0)),"")</f>
        <v/>
      </c>
      <c r="D162" s="9" t="str">
        <f>IFERROR(INDEX('Employee Master'!$H$10:$H$109,MATCH(B162,'Employee Master'!$A$10:$A$109,0)),"")</f>
        <v/>
      </c>
      <c r="E162" s="16"/>
      <c r="F162" s="16">
        <v>0</v>
      </c>
      <c r="G162" s="20">
        <f t="shared" si="4"/>
        <v>0</v>
      </c>
      <c r="H162" s="16"/>
      <c r="I162" s="9"/>
    </row>
    <row r="163" spans="1:9" x14ac:dyDescent="0.3">
      <c r="A163" s="18"/>
      <c r="B163" s="9"/>
      <c r="C163" s="9" t="str">
        <f>IFERROR(INDEX('Employee Master'!$B$10:$B$109,MATCH(B163,'Employee Master'!$A$10:$A$109,0)),"")</f>
        <v/>
      </c>
      <c r="D163" s="9" t="str">
        <f>IFERROR(INDEX('Employee Master'!$H$10:$H$109,MATCH(B163,'Employee Master'!$A$10:$A$109,0)),"")</f>
        <v/>
      </c>
      <c r="E163" s="16"/>
      <c r="F163" s="16">
        <v>0</v>
      </c>
      <c r="G163" s="20">
        <f t="shared" si="4"/>
        <v>0</v>
      </c>
      <c r="H163" s="16"/>
      <c r="I163" s="9"/>
    </row>
    <row r="164" spans="1:9" x14ac:dyDescent="0.3">
      <c r="A164" s="18"/>
      <c r="B164" s="9"/>
      <c r="C164" s="9" t="str">
        <f>IFERROR(INDEX('Employee Master'!$B$10:$B$109,MATCH(B164,'Employee Master'!$A$10:$A$109,0)),"")</f>
        <v/>
      </c>
      <c r="D164" s="9" t="str">
        <f>IFERROR(INDEX('Employee Master'!$H$10:$H$109,MATCH(B164,'Employee Master'!$A$10:$A$109,0)),"")</f>
        <v/>
      </c>
      <c r="E164" s="16"/>
      <c r="F164" s="16">
        <v>0</v>
      </c>
      <c r="G164" s="20">
        <f t="shared" si="4"/>
        <v>0</v>
      </c>
      <c r="H164" s="16"/>
      <c r="I164" s="9"/>
    </row>
    <row r="165" spans="1:9" x14ac:dyDescent="0.3">
      <c r="A165" s="18"/>
      <c r="B165" s="9"/>
      <c r="C165" s="9" t="str">
        <f>IFERROR(INDEX('Employee Master'!$B$10:$B$109,MATCH(B165,'Employee Master'!$A$10:$A$109,0)),"")</f>
        <v/>
      </c>
      <c r="D165" s="9" t="str">
        <f>IFERROR(INDEX('Employee Master'!$H$10:$H$109,MATCH(B165,'Employee Master'!$A$10:$A$109,0)),"")</f>
        <v/>
      </c>
      <c r="E165" s="16"/>
      <c r="F165" s="16">
        <v>0</v>
      </c>
      <c r="G165" s="20">
        <f t="shared" si="4"/>
        <v>0</v>
      </c>
      <c r="H165" s="16"/>
      <c r="I165" s="9"/>
    </row>
    <row r="166" spans="1:9" x14ac:dyDescent="0.3">
      <c r="A166" s="18"/>
      <c r="B166" s="9"/>
      <c r="C166" s="9" t="str">
        <f>IFERROR(INDEX('Employee Master'!$B$10:$B$109,MATCH(B166,'Employee Master'!$A$10:$A$109,0)),"")</f>
        <v/>
      </c>
      <c r="D166" s="9" t="str">
        <f>IFERROR(INDEX('Employee Master'!$H$10:$H$109,MATCH(B166,'Employee Master'!$A$10:$A$109,0)),"")</f>
        <v/>
      </c>
      <c r="E166" s="16"/>
      <c r="F166" s="16">
        <v>0</v>
      </c>
      <c r="G166" s="20">
        <f t="shared" si="4"/>
        <v>0</v>
      </c>
      <c r="H166" s="16"/>
      <c r="I166" s="9"/>
    </row>
    <row r="167" spans="1:9" x14ac:dyDescent="0.3">
      <c r="A167" s="18"/>
      <c r="B167" s="9"/>
      <c r="C167" s="9" t="str">
        <f>IFERROR(INDEX('Employee Master'!$B$10:$B$109,MATCH(B167,'Employee Master'!$A$10:$A$109,0)),"")</f>
        <v/>
      </c>
      <c r="D167" s="9" t="str">
        <f>IFERROR(INDEX('Employee Master'!$H$10:$H$109,MATCH(B167,'Employee Master'!$A$10:$A$109,0)),"")</f>
        <v/>
      </c>
      <c r="E167" s="16"/>
      <c r="F167" s="16">
        <v>0</v>
      </c>
      <c r="G167" s="20">
        <f t="shared" si="4"/>
        <v>0</v>
      </c>
      <c r="H167" s="16"/>
      <c r="I167" s="9"/>
    </row>
    <row r="168" spans="1:9" x14ac:dyDescent="0.3">
      <c r="A168" s="18"/>
      <c r="B168" s="9"/>
      <c r="C168" s="9" t="str">
        <f>IFERROR(INDEX('Employee Master'!$B$10:$B$109,MATCH(B168,'Employee Master'!$A$10:$A$109,0)),"")</f>
        <v/>
      </c>
      <c r="D168" s="9" t="str">
        <f>IFERROR(INDEX('Employee Master'!$H$10:$H$109,MATCH(B168,'Employee Master'!$A$10:$A$109,0)),"")</f>
        <v/>
      </c>
      <c r="E168" s="16"/>
      <c r="F168" s="16">
        <v>0</v>
      </c>
      <c r="G168" s="20">
        <f t="shared" si="4"/>
        <v>0</v>
      </c>
      <c r="H168" s="16"/>
      <c r="I168" s="9"/>
    </row>
    <row r="169" spans="1:9" x14ac:dyDescent="0.3">
      <c r="A169" s="18"/>
      <c r="B169" s="9"/>
      <c r="C169" s="9" t="str">
        <f>IFERROR(INDEX('Employee Master'!$B$10:$B$109,MATCH(B169,'Employee Master'!$A$10:$A$109,0)),"")</f>
        <v/>
      </c>
      <c r="D169" s="9" t="str">
        <f>IFERROR(INDEX('Employee Master'!$H$10:$H$109,MATCH(B169,'Employee Master'!$A$10:$A$109,0)),"")</f>
        <v/>
      </c>
      <c r="E169" s="16"/>
      <c r="F169" s="16">
        <v>0</v>
      </c>
      <c r="G169" s="20">
        <f t="shared" si="4"/>
        <v>0</v>
      </c>
      <c r="H169" s="16"/>
      <c r="I169" s="9"/>
    </row>
    <row r="170" spans="1:9" x14ac:dyDescent="0.3">
      <c r="A170" s="18"/>
      <c r="B170" s="9"/>
      <c r="C170" s="9" t="str">
        <f>IFERROR(INDEX('Employee Master'!$B$10:$B$109,MATCH(B170,'Employee Master'!$A$10:$A$109,0)),"")</f>
        <v/>
      </c>
      <c r="D170" s="9" t="str">
        <f>IFERROR(INDEX('Employee Master'!$H$10:$H$109,MATCH(B170,'Employee Master'!$A$10:$A$109,0)),"")</f>
        <v/>
      </c>
      <c r="E170" s="16"/>
      <c r="F170" s="16">
        <v>0</v>
      </c>
      <c r="G170" s="20">
        <f t="shared" ref="G170:G201" si="5">IFERROR(E170*F170,0)</f>
        <v>0</v>
      </c>
      <c r="H170" s="16"/>
      <c r="I170" s="9"/>
    </row>
    <row r="171" spans="1:9" x14ac:dyDescent="0.3">
      <c r="A171" s="18"/>
      <c r="B171" s="9"/>
      <c r="C171" s="9" t="str">
        <f>IFERROR(INDEX('Employee Master'!$B$10:$B$109,MATCH(B171,'Employee Master'!$A$10:$A$109,0)),"")</f>
        <v/>
      </c>
      <c r="D171" s="9" t="str">
        <f>IFERROR(INDEX('Employee Master'!$H$10:$H$109,MATCH(B171,'Employee Master'!$A$10:$A$109,0)),"")</f>
        <v/>
      </c>
      <c r="E171" s="16"/>
      <c r="F171" s="16">
        <v>0</v>
      </c>
      <c r="G171" s="20">
        <f t="shared" si="5"/>
        <v>0</v>
      </c>
      <c r="H171" s="16"/>
      <c r="I171" s="9"/>
    </row>
    <row r="172" spans="1:9" x14ac:dyDescent="0.3">
      <c r="A172" s="18"/>
      <c r="B172" s="9"/>
      <c r="C172" s="9" t="str">
        <f>IFERROR(INDEX('Employee Master'!$B$10:$B$109,MATCH(B172,'Employee Master'!$A$10:$A$109,0)),"")</f>
        <v/>
      </c>
      <c r="D172" s="9" t="str">
        <f>IFERROR(INDEX('Employee Master'!$H$10:$H$109,MATCH(B172,'Employee Master'!$A$10:$A$109,0)),"")</f>
        <v/>
      </c>
      <c r="E172" s="16"/>
      <c r="F172" s="16">
        <v>0</v>
      </c>
      <c r="G172" s="20">
        <f t="shared" si="5"/>
        <v>0</v>
      </c>
      <c r="H172" s="16"/>
      <c r="I172" s="9"/>
    </row>
    <row r="173" spans="1:9" x14ac:dyDescent="0.3">
      <c r="A173" s="18"/>
      <c r="B173" s="9"/>
      <c r="C173" s="9" t="str">
        <f>IFERROR(INDEX('Employee Master'!$B$10:$B$109,MATCH(B173,'Employee Master'!$A$10:$A$109,0)),"")</f>
        <v/>
      </c>
      <c r="D173" s="9" t="str">
        <f>IFERROR(INDEX('Employee Master'!$H$10:$H$109,MATCH(B173,'Employee Master'!$A$10:$A$109,0)),"")</f>
        <v/>
      </c>
      <c r="E173" s="16"/>
      <c r="F173" s="16">
        <v>0</v>
      </c>
      <c r="G173" s="20">
        <f t="shared" si="5"/>
        <v>0</v>
      </c>
      <c r="H173" s="16"/>
      <c r="I173" s="9"/>
    </row>
    <row r="174" spans="1:9" x14ac:dyDescent="0.3">
      <c r="A174" s="18"/>
      <c r="B174" s="9"/>
      <c r="C174" s="9" t="str">
        <f>IFERROR(INDEX('Employee Master'!$B$10:$B$109,MATCH(B174,'Employee Master'!$A$10:$A$109,0)),"")</f>
        <v/>
      </c>
      <c r="D174" s="9" t="str">
        <f>IFERROR(INDEX('Employee Master'!$H$10:$H$109,MATCH(B174,'Employee Master'!$A$10:$A$109,0)),"")</f>
        <v/>
      </c>
      <c r="E174" s="16"/>
      <c r="F174" s="16">
        <v>0</v>
      </c>
      <c r="G174" s="20">
        <f t="shared" si="5"/>
        <v>0</v>
      </c>
      <c r="H174" s="16"/>
      <c r="I174" s="9"/>
    </row>
    <row r="175" spans="1:9" x14ac:dyDescent="0.3">
      <c r="A175" s="18"/>
      <c r="B175" s="9"/>
      <c r="C175" s="9" t="str">
        <f>IFERROR(INDEX('Employee Master'!$B$10:$B$109,MATCH(B175,'Employee Master'!$A$10:$A$109,0)),"")</f>
        <v/>
      </c>
      <c r="D175" s="9" t="str">
        <f>IFERROR(INDEX('Employee Master'!$H$10:$H$109,MATCH(B175,'Employee Master'!$A$10:$A$109,0)),"")</f>
        <v/>
      </c>
      <c r="E175" s="16"/>
      <c r="F175" s="16">
        <v>0</v>
      </c>
      <c r="G175" s="20">
        <f t="shared" si="5"/>
        <v>0</v>
      </c>
      <c r="H175" s="16"/>
      <c r="I175" s="9"/>
    </row>
    <row r="176" spans="1:9" x14ac:dyDescent="0.3">
      <c r="A176" s="18"/>
      <c r="B176" s="9"/>
      <c r="C176" s="9" t="str">
        <f>IFERROR(INDEX('Employee Master'!$B$10:$B$109,MATCH(B176,'Employee Master'!$A$10:$A$109,0)),"")</f>
        <v/>
      </c>
      <c r="D176" s="9" t="str">
        <f>IFERROR(INDEX('Employee Master'!$H$10:$H$109,MATCH(B176,'Employee Master'!$A$10:$A$109,0)),"")</f>
        <v/>
      </c>
      <c r="E176" s="16"/>
      <c r="F176" s="16">
        <v>0</v>
      </c>
      <c r="G176" s="20">
        <f t="shared" si="5"/>
        <v>0</v>
      </c>
      <c r="H176" s="16"/>
      <c r="I176" s="9"/>
    </row>
    <row r="177" spans="1:9" x14ac:dyDescent="0.3">
      <c r="A177" s="18"/>
      <c r="B177" s="9"/>
      <c r="C177" s="9" t="str">
        <f>IFERROR(INDEX('Employee Master'!$B$10:$B$109,MATCH(B177,'Employee Master'!$A$10:$A$109,0)),"")</f>
        <v/>
      </c>
      <c r="D177" s="9" t="str">
        <f>IFERROR(INDEX('Employee Master'!$H$10:$H$109,MATCH(B177,'Employee Master'!$A$10:$A$109,0)),"")</f>
        <v/>
      </c>
      <c r="E177" s="16"/>
      <c r="F177" s="16">
        <v>0</v>
      </c>
      <c r="G177" s="20">
        <f t="shared" si="5"/>
        <v>0</v>
      </c>
      <c r="H177" s="16"/>
      <c r="I177" s="9"/>
    </row>
    <row r="178" spans="1:9" x14ac:dyDescent="0.3">
      <c r="A178" s="18"/>
      <c r="B178" s="9"/>
      <c r="C178" s="9" t="str">
        <f>IFERROR(INDEX('Employee Master'!$B$10:$B$109,MATCH(B178,'Employee Master'!$A$10:$A$109,0)),"")</f>
        <v/>
      </c>
      <c r="D178" s="9" t="str">
        <f>IFERROR(INDEX('Employee Master'!$H$10:$H$109,MATCH(B178,'Employee Master'!$A$10:$A$109,0)),"")</f>
        <v/>
      </c>
      <c r="E178" s="16"/>
      <c r="F178" s="16">
        <v>0</v>
      </c>
      <c r="G178" s="20">
        <f t="shared" si="5"/>
        <v>0</v>
      </c>
      <c r="H178" s="16"/>
      <c r="I178" s="9"/>
    </row>
    <row r="179" spans="1:9" x14ac:dyDescent="0.3">
      <c r="A179" s="18"/>
      <c r="B179" s="9"/>
      <c r="C179" s="9" t="str">
        <f>IFERROR(INDEX('Employee Master'!$B$10:$B$109,MATCH(B179,'Employee Master'!$A$10:$A$109,0)),"")</f>
        <v/>
      </c>
      <c r="D179" s="9" t="str">
        <f>IFERROR(INDEX('Employee Master'!$H$10:$H$109,MATCH(B179,'Employee Master'!$A$10:$A$109,0)),"")</f>
        <v/>
      </c>
      <c r="E179" s="16"/>
      <c r="F179" s="16">
        <v>0</v>
      </c>
      <c r="G179" s="20">
        <f t="shared" si="5"/>
        <v>0</v>
      </c>
      <c r="H179" s="16"/>
      <c r="I179" s="9"/>
    </row>
    <row r="180" spans="1:9" x14ac:dyDescent="0.3">
      <c r="A180" s="18"/>
      <c r="B180" s="9"/>
      <c r="C180" s="9" t="str">
        <f>IFERROR(INDEX('Employee Master'!$B$10:$B$109,MATCH(B180,'Employee Master'!$A$10:$A$109,0)),"")</f>
        <v/>
      </c>
      <c r="D180" s="9" t="str">
        <f>IFERROR(INDEX('Employee Master'!$H$10:$H$109,MATCH(B180,'Employee Master'!$A$10:$A$109,0)),"")</f>
        <v/>
      </c>
      <c r="E180" s="16"/>
      <c r="F180" s="16">
        <v>0</v>
      </c>
      <c r="G180" s="20">
        <f t="shared" si="5"/>
        <v>0</v>
      </c>
      <c r="H180" s="16"/>
      <c r="I180" s="9"/>
    </row>
    <row r="181" spans="1:9" x14ac:dyDescent="0.3">
      <c r="A181" s="18"/>
      <c r="B181" s="9"/>
      <c r="C181" s="9" t="str">
        <f>IFERROR(INDEX('Employee Master'!$B$10:$B$109,MATCH(B181,'Employee Master'!$A$10:$A$109,0)),"")</f>
        <v/>
      </c>
      <c r="D181" s="9" t="str">
        <f>IFERROR(INDEX('Employee Master'!$H$10:$H$109,MATCH(B181,'Employee Master'!$A$10:$A$109,0)),"")</f>
        <v/>
      </c>
      <c r="E181" s="16"/>
      <c r="F181" s="16">
        <v>0</v>
      </c>
      <c r="G181" s="20">
        <f t="shared" si="5"/>
        <v>0</v>
      </c>
      <c r="H181" s="16"/>
      <c r="I181" s="9"/>
    </row>
    <row r="182" spans="1:9" x14ac:dyDescent="0.3">
      <c r="A182" s="18"/>
      <c r="B182" s="9"/>
      <c r="C182" s="9" t="str">
        <f>IFERROR(INDEX('Employee Master'!$B$10:$B$109,MATCH(B182,'Employee Master'!$A$10:$A$109,0)),"")</f>
        <v/>
      </c>
      <c r="D182" s="9" t="str">
        <f>IFERROR(INDEX('Employee Master'!$H$10:$H$109,MATCH(B182,'Employee Master'!$A$10:$A$109,0)),"")</f>
        <v/>
      </c>
      <c r="E182" s="16"/>
      <c r="F182" s="16">
        <v>0</v>
      </c>
      <c r="G182" s="20">
        <f t="shared" si="5"/>
        <v>0</v>
      </c>
      <c r="H182" s="16"/>
      <c r="I182" s="9"/>
    </row>
    <row r="183" spans="1:9" x14ac:dyDescent="0.3">
      <c r="A183" s="18"/>
      <c r="B183" s="9"/>
      <c r="C183" s="9" t="str">
        <f>IFERROR(INDEX('Employee Master'!$B$10:$B$109,MATCH(B183,'Employee Master'!$A$10:$A$109,0)),"")</f>
        <v/>
      </c>
      <c r="D183" s="9" t="str">
        <f>IFERROR(INDEX('Employee Master'!$H$10:$H$109,MATCH(B183,'Employee Master'!$A$10:$A$109,0)),"")</f>
        <v/>
      </c>
      <c r="E183" s="16"/>
      <c r="F183" s="16">
        <v>0</v>
      </c>
      <c r="G183" s="20">
        <f t="shared" si="5"/>
        <v>0</v>
      </c>
      <c r="H183" s="16"/>
      <c r="I183" s="9"/>
    </row>
    <row r="184" spans="1:9" x14ac:dyDescent="0.3">
      <c r="A184" s="18"/>
      <c r="B184" s="9"/>
      <c r="C184" s="9" t="str">
        <f>IFERROR(INDEX('Employee Master'!$B$10:$B$109,MATCH(B184,'Employee Master'!$A$10:$A$109,0)),"")</f>
        <v/>
      </c>
      <c r="D184" s="9" t="str">
        <f>IFERROR(INDEX('Employee Master'!$H$10:$H$109,MATCH(B184,'Employee Master'!$A$10:$A$109,0)),"")</f>
        <v/>
      </c>
      <c r="E184" s="16"/>
      <c r="F184" s="16">
        <v>0</v>
      </c>
      <c r="G184" s="20">
        <f t="shared" si="5"/>
        <v>0</v>
      </c>
      <c r="H184" s="16"/>
      <c r="I184" s="9"/>
    </row>
    <row r="185" spans="1:9" x14ac:dyDescent="0.3">
      <c r="A185" s="18"/>
      <c r="B185" s="9"/>
      <c r="C185" s="9" t="str">
        <f>IFERROR(INDEX('Employee Master'!$B$10:$B$109,MATCH(B185,'Employee Master'!$A$10:$A$109,0)),"")</f>
        <v/>
      </c>
      <c r="D185" s="9" t="str">
        <f>IFERROR(INDEX('Employee Master'!$H$10:$H$109,MATCH(B185,'Employee Master'!$A$10:$A$109,0)),"")</f>
        <v/>
      </c>
      <c r="E185" s="16"/>
      <c r="F185" s="16">
        <v>0</v>
      </c>
      <c r="G185" s="20">
        <f t="shared" si="5"/>
        <v>0</v>
      </c>
      <c r="H185" s="16"/>
      <c r="I185" s="9"/>
    </row>
    <row r="186" spans="1:9" x14ac:dyDescent="0.3">
      <c r="A186" s="18"/>
      <c r="B186" s="9"/>
      <c r="C186" s="9" t="str">
        <f>IFERROR(INDEX('Employee Master'!$B$10:$B$109,MATCH(B186,'Employee Master'!$A$10:$A$109,0)),"")</f>
        <v/>
      </c>
      <c r="D186" s="9" t="str">
        <f>IFERROR(INDEX('Employee Master'!$H$10:$H$109,MATCH(B186,'Employee Master'!$A$10:$A$109,0)),"")</f>
        <v/>
      </c>
      <c r="E186" s="16"/>
      <c r="F186" s="16">
        <v>0</v>
      </c>
      <c r="G186" s="20">
        <f t="shared" si="5"/>
        <v>0</v>
      </c>
      <c r="H186" s="16"/>
      <c r="I186" s="9"/>
    </row>
    <row r="187" spans="1:9" x14ac:dyDescent="0.3">
      <c r="A187" s="18"/>
      <c r="B187" s="9"/>
      <c r="C187" s="9" t="str">
        <f>IFERROR(INDEX('Employee Master'!$B$10:$B$109,MATCH(B187,'Employee Master'!$A$10:$A$109,0)),"")</f>
        <v/>
      </c>
      <c r="D187" s="9" t="str">
        <f>IFERROR(INDEX('Employee Master'!$H$10:$H$109,MATCH(B187,'Employee Master'!$A$10:$A$109,0)),"")</f>
        <v/>
      </c>
      <c r="E187" s="16"/>
      <c r="F187" s="16">
        <v>0</v>
      </c>
      <c r="G187" s="20">
        <f t="shared" si="5"/>
        <v>0</v>
      </c>
      <c r="H187" s="16"/>
      <c r="I187" s="9"/>
    </row>
    <row r="188" spans="1:9" x14ac:dyDescent="0.3">
      <c r="A188" s="18"/>
      <c r="B188" s="9"/>
      <c r="C188" s="9" t="str">
        <f>IFERROR(INDEX('Employee Master'!$B$10:$B$109,MATCH(B188,'Employee Master'!$A$10:$A$109,0)),"")</f>
        <v/>
      </c>
      <c r="D188" s="9" t="str">
        <f>IFERROR(INDEX('Employee Master'!$H$10:$H$109,MATCH(B188,'Employee Master'!$A$10:$A$109,0)),"")</f>
        <v/>
      </c>
      <c r="E188" s="16"/>
      <c r="F188" s="16">
        <v>0</v>
      </c>
      <c r="G188" s="20">
        <f t="shared" si="5"/>
        <v>0</v>
      </c>
      <c r="H188" s="16"/>
      <c r="I188" s="9"/>
    </row>
    <row r="189" spans="1:9" x14ac:dyDescent="0.3">
      <c r="A189" s="18"/>
      <c r="B189" s="9"/>
      <c r="C189" s="9" t="str">
        <f>IFERROR(INDEX('Employee Master'!$B$10:$B$109,MATCH(B189,'Employee Master'!$A$10:$A$109,0)),"")</f>
        <v/>
      </c>
      <c r="D189" s="9" t="str">
        <f>IFERROR(INDEX('Employee Master'!$H$10:$H$109,MATCH(B189,'Employee Master'!$A$10:$A$109,0)),"")</f>
        <v/>
      </c>
      <c r="E189" s="16"/>
      <c r="F189" s="16">
        <v>0</v>
      </c>
      <c r="G189" s="20">
        <f t="shared" si="5"/>
        <v>0</v>
      </c>
      <c r="H189" s="16"/>
      <c r="I189" s="9"/>
    </row>
    <row r="190" spans="1:9" x14ac:dyDescent="0.3">
      <c r="A190" s="18"/>
      <c r="B190" s="9"/>
      <c r="C190" s="9" t="str">
        <f>IFERROR(INDEX('Employee Master'!$B$10:$B$109,MATCH(B190,'Employee Master'!$A$10:$A$109,0)),"")</f>
        <v/>
      </c>
      <c r="D190" s="9" t="str">
        <f>IFERROR(INDEX('Employee Master'!$H$10:$H$109,MATCH(B190,'Employee Master'!$A$10:$A$109,0)),"")</f>
        <v/>
      </c>
      <c r="E190" s="16"/>
      <c r="F190" s="16">
        <v>0</v>
      </c>
      <c r="G190" s="20">
        <f t="shared" si="5"/>
        <v>0</v>
      </c>
      <c r="H190" s="16"/>
      <c r="I190" s="9"/>
    </row>
    <row r="191" spans="1:9" x14ac:dyDescent="0.3">
      <c r="A191" s="18"/>
      <c r="B191" s="9"/>
      <c r="C191" s="9" t="str">
        <f>IFERROR(INDEX('Employee Master'!$B$10:$B$109,MATCH(B191,'Employee Master'!$A$10:$A$109,0)),"")</f>
        <v/>
      </c>
      <c r="D191" s="9" t="str">
        <f>IFERROR(INDEX('Employee Master'!$H$10:$H$109,MATCH(B191,'Employee Master'!$A$10:$A$109,0)),"")</f>
        <v/>
      </c>
      <c r="E191" s="16"/>
      <c r="F191" s="16">
        <v>0</v>
      </c>
      <c r="G191" s="20">
        <f t="shared" si="5"/>
        <v>0</v>
      </c>
      <c r="H191" s="16"/>
      <c r="I191" s="9"/>
    </row>
    <row r="192" spans="1:9" x14ac:dyDescent="0.3">
      <c r="A192" s="18"/>
      <c r="B192" s="9"/>
      <c r="C192" s="9" t="str">
        <f>IFERROR(INDEX('Employee Master'!$B$10:$B$109,MATCH(B192,'Employee Master'!$A$10:$A$109,0)),"")</f>
        <v/>
      </c>
      <c r="D192" s="9" t="str">
        <f>IFERROR(INDEX('Employee Master'!$H$10:$H$109,MATCH(B192,'Employee Master'!$A$10:$A$109,0)),"")</f>
        <v/>
      </c>
      <c r="E192" s="16"/>
      <c r="F192" s="16">
        <v>0</v>
      </c>
      <c r="G192" s="20">
        <f t="shared" si="5"/>
        <v>0</v>
      </c>
      <c r="H192" s="16"/>
      <c r="I192" s="9"/>
    </row>
    <row r="193" spans="1:9" x14ac:dyDescent="0.3">
      <c r="A193" s="18"/>
      <c r="B193" s="9"/>
      <c r="C193" s="9" t="str">
        <f>IFERROR(INDEX('Employee Master'!$B$10:$B$109,MATCH(B193,'Employee Master'!$A$10:$A$109,0)),"")</f>
        <v/>
      </c>
      <c r="D193" s="9" t="str">
        <f>IFERROR(INDEX('Employee Master'!$H$10:$H$109,MATCH(B193,'Employee Master'!$A$10:$A$109,0)),"")</f>
        <v/>
      </c>
      <c r="E193" s="16"/>
      <c r="F193" s="16">
        <v>0</v>
      </c>
      <c r="G193" s="20">
        <f t="shared" si="5"/>
        <v>0</v>
      </c>
      <c r="H193" s="16"/>
      <c r="I193" s="9"/>
    </row>
    <row r="194" spans="1:9" x14ac:dyDescent="0.3">
      <c r="A194" s="18"/>
      <c r="B194" s="9"/>
      <c r="C194" s="9" t="str">
        <f>IFERROR(INDEX('Employee Master'!$B$10:$B$109,MATCH(B194,'Employee Master'!$A$10:$A$109,0)),"")</f>
        <v/>
      </c>
      <c r="D194" s="9" t="str">
        <f>IFERROR(INDEX('Employee Master'!$H$10:$H$109,MATCH(B194,'Employee Master'!$A$10:$A$109,0)),"")</f>
        <v/>
      </c>
      <c r="E194" s="16"/>
      <c r="F194" s="16">
        <v>0</v>
      </c>
      <c r="G194" s="20">
        <f t="shared" si="5"/>
        <v>0</v>
      </c>
      <c r="H194" s="16"/>
      <c r="I194" s="9"/>
    </row>
    <row r="195" spans="1:9" x14ac:dyDescent="0.3">
      <c r="A195" s="18"/>
      <c r="B195" s="9"/>
      <c r="C195" s="9" t="str">
        <f>IFERROR(INDEX('Employee Master'!$B$10:$B$109,MATCH(B195,'Employee Master'!$A$10:$A$109,0)),"")</f>
        <v/>
      </c>
      <c r="D195" s="9" t="str">
        <f>IFERROR(INDEX('Employee Master'!$H$10:$H$109,MATCH(B195,'Employee Master'!$A$10:$A$109,0)),"")</f>
        <v/>
      </c>
      <c r="E195" s="16"/>
      <c r="F195" s="16">
        <v>0</v>
      </c>
      <c r="G195" s="20">
        <f t="shared" si="5"/>
        <v>0</v>
      </c>
      <c r="H195" s="16"/>
      <c r="I195" s="9"/>
    </row>
    <row r="196" spans="1:9" x14ac:dyDescent="0.3">
      <c r="A196" s="18"/>
      <c r="B196" s="9"/>
      <c r="C196" s="9" t="str">
        <f>IFERROR(INDEX('Employee Master'!$B$10:$B$109,MATCH(B196,'Employee Master'!$A$10:$A$109,0)),"")</f>
        <v/>
      </c>
      <c r="D196" s="9" t="str">
        <f>IFERROR(INDEX('Employee Master'!$H$10:$H$109,MATCH(B196,'Employee Master'!$A$10:$A$109,0)),"")</f>
        <v/>
      </c>
      <c r="E196" s="16"/>
      <c r="F196" s="16">
        <v>0</v>
      </c>
      <c r="G196" s="20">
        <f t="shared" si="5"/>
        <v>0</v>
      </c>
      <c r="H196" s="16"/>
      <c r="I196" s="9"/>
    </row>
    <row r="197" spans="1:9" x14ac:dyDescent="0.3">
      <c r="A197" s="18"/>
      <c r="B197" s="9"/>
      <c r="C197" s="9" t="str">
        <f>IFERROR(INDEX('Employee Master'!$B$10:$B$109,MATCH(B197,'Employee Master'!$A$10:$A$109,0)),"")</f>
        <v/>
      </c>
      <c r="D197" s="9" t="str">
        <f>IFERROR(INDEX('Employee Master'!$H$10:$H$109,MATCH(B197,'Employee Master'!$A$10:$A$109,0)),"")</f>
        <v/>
      </c>
      <c r="E197" s="16"/>
      <c r="F197" s="16">
        <v>0</v>
      </c>
      <c r="G197" s="20">
        <f t="shared" si="5"/>
        <v>0</v>
      </c>
      <c r="H197" s="16"/>
      <c r="I197" s="9"/>
    </row>
    <row r="198" spans="1:9" x14ac:dyDescent="0.3">
      <c r="A198" s="18"/>
      <c r="B198" s="9"/>
      <c r="C198" s="9" t="str">
        <f>IFERROR(INDEX('Employee Master'!$B$10:$B$109,MATCH(B198,'Employee Master'!$A$10:$A$109,0)),"")</f>
        <v/>
      </c>
      <c r="D198" s="9" t="str">
        <f>IFERROR(INDEX('Employee Master'!$H$10:$H$109,MATCH(B198,'Employee Master'!$A$10:$A$109,0)),"")</f>
        <v/>
      </c>
      <c r="E198" s="16"/>
      <c r="F198" s="16">
        <v>0</v>
      </c>
      <c r="G198" s="20">
        <f t="shared" si="5"/>
        <v>0</v>
      </c>
      <c r="H198" s="16"/>
      <c r="I198" s="9"/>
    </row>
    <row r="199" spans="1:9" x14ac:dyDescent="0.3">
      <c r="A199" s="18"/>
      <c r="B199" s="9"/>
      <c r="C199" s="9" t="str">
        <f>IFERROR(INDEX('Employee Master'!$B$10:$B$109,MATCH(B199,'Employee Master'!$A$10:$A$109,0)),"")</f>
        <v/>
      </c>
      <c r="D199" s="9" t="str">
        <f>IFERROR(INDEX('Employee Master'!$H$10:$H$109,MATCH(B199,'Employee Master'!$A$10:$A$109,0)),"")</f>
        <v/>
      </c>
      <c r="E199" s="16"/>
      <c r="F199" s="16">
        <v>0</v>
      </c>
      <c r="G199" s="20">
        <f t="shared" si="5"/>
        <v>0</v>
      </c>
      <c r="H199" s="16"/>
      <c r="I199" s="9"/>
    </row>
    <row r="200" spans="1:9" x14ac:dyDescent="0.3">
      <c r="A200" s="18"/>
      <c r="B200" s="9"/>
      <c r="C200" s="9" t="str">
        <f>IFERROR(INDEX('Employee Master'!$B$10:$B$109,MATCH(B200,'Employee Master'!$A$10:$A$109,0)),"")</f>
        <v/>
      </c>
      <c r="D200" s="9" t="str">
        <f>IFERROR(INDEX('Employee Master'!$H$10:$H$109,MATCH(B200,'Employee Master'!$A$10:$A$109,0)),"")</f>
        <v/>
      </c>
      <c r="E200" s="16"/>
      <c r="F200" s="16">
        <v>0</v>
      </c>
      <c r="G200" s="20">
        <f t="shared" si="5"/>
        <v>0</v>
      </c>
      <c r="H200" s="16"/>
      <c r="I200" s="9"/>
    </row>
    <row r="201" spans="1:9" x14ac:dyDescent="0.3">
      <c r="A201" s="18"/>
      <c r="B201" s="9"/>
      <c r="C201" s="9" t="str">
        <f>IFERROR(INDEX('Employee Master'!$B$10:$B$109,MATCH(B201,'Employee Master'!$A$10:$A$109,0)),"")</f>
        <v/>
      </c>
      <c r="D201" s="9" t="str">
        <f>IFERROR(INDEX('Employee Master'!$H$10:$H$109,MATCH(B201,'Employee Master'!$A$10:$A$109,0)),"")</f>
        <v/>
      </c>
      <c r="E201" s="16"/>
      <c r="F201" s="16">
        <v>0</v>
      </c>
      <c r="G201" s="20">
        <f t="shared" si="5"/>
        <v>0</v>
      </c>
      <c r="H201" s="16"/>
      <c r="I201" s="9"/>
    </row>
    <row r="202" spans="1:9" x14ac:dyDescent="0.3">
      <c r="A202" s="18"/>
      <c r="B202" s="9"/>
      <c r="C202" s="9" t="str">
        <f>IFERROR(INDEX('Employee Master'!$B$10:$B$109,MATCH(B202,'Employee Master'!$A$10:$A$109,0)),"")</f>
        <v/>
      </c>
      <c r="D202" s="9" t="str">
        <f>IFERROR(INDEX('Employee Master'!$H$10:$H$109,MATCH(B202,'Employee Master'!$A$10:$A$109,0)),"")</f>
        <v/>
      </c>
      <c r="E202" s="16"/>
      <c r="F202" s="16">
        <v>0</v>
      </c>
      <c r="G202" s="20">
        <f t="shared" ref="G202:G209" si="6">IFERROR(E202*F202,0)</f>
        <v>0</v>
      </c>
      <c r="H202" s="16"/>
      <c r="I202" s="9"/>
    </row>
    <row r="203" spans="1:9" x14ac:dyDescent="0.3">
      <c r="A203" s="18"/>
      <c r="B203" s="9"/>
      <c r="C203" s="9" t="str">
        <f>IFERROR(INDEX('Employee Master'!$B$10:$B$109,MATCH(B203,'Employee Master'!$A$10:$A$109,0)),"")</f>
        <v/>
      </c>
      <c r="D203" s="9" t="str">
        <f>IFERROR(INDEX('Employee Master'!$H$10:$H$109,MATCH(B203,'Employee Master'!$A$10:$A$109,0)),"")</f>
        <v/>
      </c>
      <c r="E203" s="16"/>
      <c r="F203" s="16">
        <v>0</v>
      </c>
      <c r="G203" s="20">
        <f t="shared" si="6"/>
        <v>0</v>
      </c>
      <c r="H203" s="16"/>
      <c r="I203" s="9"/>
    </row>
    <row r="204" spans="1:9" x14ac:dyDescent="0.3">
      <c r="A204" s="18"/>
      <c r="B204" s="9"/>
      <c r="C204" s="9" t="str">
        <f>IFERROR(INDEX('Employee Master'!$B$10:$B$109,MATCH(B204,'Employee Master'!$A$10:$A$109,0)),"")</f>
        <v/>
      </c>
      <c r="D204" s="9" t="str">
        <f>IFERROR(INDEX('Employee Master'!$H$10:$H$109,MATCH(B204,'Employee Master'!$A$10:$A$109,0)),"")</f>
        <v/>
      </c>
      <c r="E204" s="16"/>
      <c r="F204" s="16">
        <v>0</v>
      </c>
      <c r="G204" s="20">
        <f t="shared" si="6"/>
        <v>0</v>
      </c>
      <c r="H204" s="16"/>
      <c r="I204" s="9"/>
    </row>
    <row r="205" spans="1:9" x14ac:dyDescent="0.3">
      <c r="A205" s="18"/>
      <c r="B205" s="9"/>
      <c r="C205" s="9" t="str">
        <f>IFERROR(INDEX('Employee Master'!$B$10:$B$109,MATCH(B205,'Employee Master'!$A$10:$A$109,0)),"")</f>
        <v/>
      </c>
      <c r="D205" s="9" t="str">
        <f>IFERROR(INDEX('Employee Master'!$H$10:$H$109,MATCH(B205,'Employee Master'!$A$10:$A$109,0)),"")</f>
        <v/>
      </c>
      <c r="E205" s="16"/>
      <c r="F205" s="16">
        <v>0</v>
      </c>
      <c r="G205" s="20">
        <f t="shared" si="6"/>
        <v>0</v>
      </c>
      <c r="H205" s="16"/>
      <c r="I205" s="9"/>
    </row>
    <row r="206" spans="1:9" x14ac:dyDescent="0.3">
      <c r="A206" s="18"/>
      <c r="B206" s="9"/>
      <c r="C206" s="9" t="str">
        <f>IFERROR(INDEX('Employee Master'!$B$10:$B$109,MATCH(B206,'Employee Master'!$A$10:$A$109,0)),"")</f>
        <v/>
      </c>
      <c r="D206" s="9" t="str">
        <f>IFERROR(INDEX('Employee Master'!$H$10:$H$109,MATCH(B206,'Employee Master'!$A$10:$A$109,0)),"")</f>
        <v/>
      </c>
      <c r="E206" s="16"/>
      <c r="F206" s="16">
        <v>0</v>
      </c>
      <c r="G206" s="20">
        <f t="shared" si="6"/>
        <v>0</v>
      </c>
      <c r="H206" s="16"/>
      <c r="I206" s="9"/>
    </row>
    <row r="207" spans="1:9" x14ac:dyDescent="0.3">
      <c r="A207" s="18"/>
      <c r="B207" s="9"/>
      <c r="C207" s="9" t="str">
        <f>IFERROR(INDEX('Employee Master'!$B$10:$B$109,MATCH(B207,'Employee Master'!$A$10:$A$109,0)),"")</f>
        <v/>
      </c>
      <c r="D207" s="9" t="str">
        <f>IFERROR(INDEX('Employee Master'!$H$10:$H$109,MATCH(B207,'Employee Master'!$A$10:$A$109,0)),"")</f>
        <v/>
      </c>
      <c r="E207" s="16"/>
      <c r="F207" s="16">
        <v>0</v>
      </c>
      <c r="G207" s="20">
        <f t="shared" si="6"/>
        <v>0</v>
      </c>
      <c r="H207" s="16"/>
      <c r="I207" s="9"/>
    </row>
    <row r="208" spans="1:9" x14ac:dyDescent="0.3">
      <c r="A208" s="18"/>
      <c r="B208" s="9"/>
      <c r="C208" s="9" t="str">
        <f>IFERROR(INDEX('Employee Master'!$B$10:$B$109,MATCH(B208,'Employee Master'!$A$10:$A$109,0)),"")</f>
        <v/>
      </c>
      <c r="D208" s="9" t="str">
        <f>IFERROR(INDEX('Employee Master'!$H$10:$H$109,MATCH(B208,'Employee Master'!$A$10:$A$109,0)),"")</f>
        <v/>
      </c>
      <c r="E208" s="16"/>
      <c r="F208" s="16">
        <v>0</v>
      </c>
      <c r="G208" s="20">
        <f t="shared" si="6"/>
        <v>0</v>
      </c>
      <c r="H208" s="16"/>
      <c r="I208" s="9"/>
    </row>
    <row r="209" spans="1:9" x14ac:dyDescent="0.3">
      <c r="A209" s="18"/>
      <c r="B209" s="9"/>
      <c r="C209" s="9" t="str">
        <f>IFERROR(INDEX('Employee Master'!$B$10:$B$109,MATCH(B209,'Employee Master'!$A$10:$A$109,0)),"")</f>
        <v/>
      </c>
      <c r="D209" s="9" t="str">
        <f>IFERROR(INDEX('Employee Master'!$H$10:$H$109,MATCH(B209,'Employee Master'!$A$10:$A$109,0)),"")</f>
        <v/>
      </c>
      <c r="E209" s="16"/>
      <c r="F209" s="16">
        <v>0</v>
      </c>
      <c r="G209" s="20">
        <f t="shared" si="6"/>
        <v>0</v>
      </c>
      <c r="H209" s="16"/>
      <c r="I209" s="9"/>
    </row>
  </sheetData>
  <mergeCells count="14">
    <mergeCell ref="B6:C6"/>
    <mergeCell ref="D6:E6"/>
    <mergeCell ref="F6:G6"/>
    <mergeCell ref="H6:I6"/>
    <mergeCell ref="B7:C7"/>
    <mergeCell ref="D7:E7"/>
    <mergeCell ref="F7:G7"/>
    <mergeCell ref="H7:I7"/>
    <mergeCell ref="A1:I1"/>
    <mergeCell ref="A2:I2"/>
    <mergeCell ref="B5:C5"/>
    <mergeCell ref="D5:E5"/>
    <mergeCell ref="F5:G5"/>
    <mergeCell ref="H5:I5"/>
  </mergeCells>
  <phoneticPr fontId="32" type="noConversion"/>
  <conditionalFormatting sqref="A10:I209">
    <cfRule type="expression" dxfId="19" priority="2">
      <formula>MOD(ROW(),2)=0</formula>
    </cfRule>
  </conditionalFormatting>
  <conditionalFormatting sqref="H10:H209">
    <cfRule type="cellIs" dxfId="18" priority="3" operator="equal">
      <formula>"Approved"</formula>
    </cfRule>
    <cfRule type="cellIs" dxfId="17" priority="4" operator="equal">
      <formula>"Pending"</formula>
    </cfRule>
  </conditionalFormatting>
  <dataValidations count="1">
    <dataValidation type="list" allowBlank="1" sqref="H10:H209" xr:uid="{00000000-0002-0000-0500-000000000000}">
      <formula1>"Approved,Pending,Rejected"</formula1>
      <formula2>0</formula2>
    </dataValidation>
  </dataValidations>
  <hyperlinks>
    <hyperlink ref="A3" location="'HR Command Center'!A1" display=" HOME " xr:uid="{00000000-0004-0000-0500-000000000000}"/>
    <hyperlink ref="B3" location="'Employee Master'!A1" display=" PEOPLE " xr:uid="{00000000-0004-0000-0500-000001000000}"/>
    <hyperlink ref="C3" location="'Attendance'!A1" display=" ATTEND. " xr:uid="{00000000-0004-0000-0500-000002000000}"/>
    <hyperlink ref="D3" location="'Leave Tracker'!A1" display=" LEAVE " xr:uid="{00000000-0004-0000-0500-000003000000}"/>
    <hyperlink ref="E3" location="'Payroll'!A1" display=" PAYROLL " xr:uid="{00000000-0004-0000-0500-000004000000}"/>
    <hyperlink ref="F3" location="'Document Tracker'!A1" display=" DOCS " xr:uid="{00000000-0004-0000-0500-000005000000}"/>
    <hyperlink ref="G3" location="'Compliance Center'!A1" display=" COMPLY " xr:uid="{00000000-0004-0000-0500-000006000000}"/>
    <hyperlink ref="H3" location="'Analytics &amp; Reports'!A1" display=" ANALYTICS " xr:uid="{00000000-0004-0000-0500-000007000000}"/>
    <hyperlink ref="I3" location="'Management Dashboard'!A1" display=" MGMT " xr:uid="{00000000-0004-0000-0500-00000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109"/>
  <sheetViews>
    <sheetView showGridLines="0" zoomScaleNormal="100" workbookViewId="0">
      <pane xSplit="1" ySplit="9" topLeftCell="B34" activePane="bottomRight" state="frozen"/>
      <selection pane="topRight" activeCell="B1" sqref="B1"/>
      <selection pane="bottomLeft" activeCell="A10" sqref="A10"/>
      <selection pane="bottomRight" activeCell="E62" sqref="E62"/>
    </sheetView>
  </sheetViews>
  <sheetFormatPr defaultColWidth="8.6640625" defaultRowHeight="14.4" x14ac:dyDescent="0.3"/>
  <cols>
    <col min="1" max="1" width="11" customWidth="1"/>
    <col min="2" max="2" width="20" customWidth="1"/>
    <col min="3" max="6" width="12" customWidth="1"/>
    <col min="7" max="7" width="16" customWidth="1"/>
    <col min="8" max="8" width="13" customWidth="1"/>
    <col min="9" max="9" width="12" customWidth="1"/>
    <col min="10" max="10" width="11" customWidth="1"/>
    <col min="11" max="11" width="18.77734375" customWidth="1"/>
  </cols>
  <sheetData>
    <row r="1" spans="1:50" ht="33.75" customHeight="1" x14ac:dyDescent="0.3">
      <c r="A1" s="26" t="s">
        <v>229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1:50" ht="15.75" customHeight="1" x14ac:dyDescent="0.3">
      <c r="A2" s="27" t="s">
        <v>230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ht="19.5" customHeight="1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3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 spans="1:50" s="25" customFormat="1" ht="13.5" customHeight="1" x14ac:dyDescent="0.3">
      <c r="A5" s="22"/>
      <c r="B5" s="69" t="s">
        <v>231</v>
      </c>
      <c r="C5" s="70"/>
      <c r="D5" s="22"/>
      <c r="E5" s="83" t="s">
        <v>232</v>
      </c>
      <c r="F5" s="84"/>
      <c r="G5" s="22"/>
      <c r="H5" s="73" t="s">
        <v>233</v>
      </c>
      <c r="I5" s="85"/>
      <c r="J5" s="22"/>
      <c r="K5" s="24" t="s">
        <v>234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</row>
    <row r="6" spans="1:50" ht="25.5" customHeight="1" x14ac:dyDescent="0.3">
      <c r="A6" s="4"/>
      <c r="B6" s="86">
        <f>IFERROR(AVERAGE($I$10:$I$109),0)</f>
        <v>0.54444444444444451</v>
      </c>
      <c r="C6" s="87"/>
      <c r="D6" s="4"/>
      <c r="E6" s="65">
        <f>COUNTIF($I$10:$I$109,1)</f>
        <v>4</v>
      </c>
      <c r="F6" s="66"/>
      <c r="G6" s="4"/>
      <c r="H6" s="65">
        <f>COUNTIFS($I$10:$I$109,"&lt;1",$A$10:$A$109,"&lt;&gt;")</f>
        <v>41</v>
      </c>
      <c r="I6" s="66"/>
      <c r="J6" s="4"/>
      <c r="K6" s="23">
        <f>SUM($J$10:$J$109)</f>
        <v>123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ht="13.5" customHeight="1" x14ac:dyDescent="0.3">
      <c r="A7" s="4"/>
      <c r="B7" s="77"/>
      <c r="C7" s="78"/>
      <c r="D7" s="4"/>
      <c r="E7" s="88"/>
      <c r="F7" s="89"/>
      <c r="G7" s="4"/>
      <c r="H7" s="67"/>
      <c r="I7" s="68"/>
      <c r="J7" s="4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ht="30" customHeight="1" x14ac:dyDescent="0.3">
      <c r="A9" s="15" t="s">
        <v>122</v>
      </c>
      <c r="B9" s="15" t="s">
        <v>123</v>
      </c>
      <c r="C9" s="15" t="s">
        <v>133</v>
      </c>
      <c r="D9" s="15" t="s">
        <v>134</v>
      </c>
      <c r="E9" s="15" t="s">
        <v>235</v>
      </c>
      <c r="F9" s="15" t="s">
        <v>236</v>
      </c>
      <c r="G9" s="15" t="s">
        <v>237</v>
      </c>
      <c r="H9" s="15" t="s">
        <v>238</v>
      </c>
      <c r="I9" s="15" t="s">
        <v>239</v>
      </c>
      <c r="J9" s="15" t="s">
        <v>240</v>
      </c>
      <c r="K9" s="15" t="s">
        <v>186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x14ac:dyDescent="0.3">
      <c r="A10" s="16" t="s">
        <v>287</v>
      </c>
      <c r="B10" s="9" t="str">
        <f>IFERROR(INDEX('Employee Master'!$B$10:$B$109,MATCH(A10,'Employee Master'!$A$10:$A$109,0)),"")</f>
        <v>Murugesan P</v>
      </c>
      <c r="C10" s="16" t="s">
        <v>71</v>
      </c>
      <c r="D10" s="16" t="s">
        <v>71</v>
      </c>
      <c r="E10" s="16" t="s">
        <v>71</v>
      </c>
      <c r="F10" s="16" t="s">
        <v>71</v>
      </c>
      <c r="G10" s="16" t="s">
        <v>95</v>
      </c>
      <c r="H10" s="16" t="s">
        <v>89</v>
      </c>
      <c r="I10" s="21">
        <f t="shared" ref="I10:I41" si="0">IF(A10="","",COUNTIF(C10:H10,"Available")/6)</f>
        <v>0.66666666666666663</v>
      </c>
      <c r="J10" s="16">
        <f t="shared" ref="J10:J41" si="1">IF(A10="",0,6-COUNTIF(C10:H10,"Available"))</f>
        <v>2</v>
      </c>
      <c r="K10" s="9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x14ac:dyDescent="0.3">
      <c r="A11" s="16" t="s">
        <v>288</v>
      </c>
      <c r="B11" s="9" t="str">
        <f>IFERROR(INDEX('Employee Master'!$B$10:$B$109,MATCH(A11,'Employee Master'!$A$10:$A$109,0)),"")</f>
        <v>Vijay K</v>
      </c>
      <c r="C11" s="16" t="s">
        <v>71</v>
      </c>
      <c r="D11" s="16" t="s">
        <v>71</v>
      </c>
      <c r="E11" s="16" t="s">
        <v>71</v>
      </c>
      <c r="F11" s="16" t="s">
        <v>71</v>
      </c>
      <c r="G11" s="16" t="s">
        <v>71</v>
      </c>
      <c r="H11" s="16" t="s">
        <v>71</v>
      </c>
      <c r="I11" s="21">
        <f t="shared" si="0"/>
        <v>1</v>
      </c>
      <c r="J11" s="16">
        <f t="shared" si="1"/>
        <v>0</v>
      </c>
      <c r="K11" s="9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x14ac:dyDescent="0.3">
      <c r="A12" s="16" t="s">
        <v>289</v>
      </c>
      <c r="B12" s="9" t="str">
        <f>IFERROR(INDEX('Employee Master'!$B$10:$B$109,MATCH(A12,'Employee Master'!$A$10:$A$109,0)),"")</f>
        <v>Murugesan P</v>
      </c>
      <c r="C12" s="16" t="s">
        <v>80</v>
      </c>
      <c r="D12" s="16" t="s">
        <v>89</v>
      </c>
      <c r="E12" s="16" t="s">
        <v>71</v>
      </c>
      <c r="F12" s="16" t="s">
        <v>80</v>
      </c>
      <c r="G12" s="16" t="s">
        <v>71</v>
      </c>
      <c r="H12" s="16" t="s">
        <v>71</v>
      </c>
      <c r="I12" s="21">
        <f t="shared" si="0"/>
        <v>0.5</v>
      </c>
      <c r="J12" s="16">
        <f t="shared" si="1"/>
        <v>3</v>
      </c>
      <c r="K12" s="9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x14ac:dyDescent="0.3">
      <c r="A13" s="16" t="s">
        <v>290</v>
      </c>
      <c r="B13" s="9" t="str">
        <f>IFERROR(INDEX('Employee Master'!$B$10:$B$109,MATCH(A13,'Employee Master'!$A$10:$A$109,0)),"")</f>
        <v>Murugesan S</v>
      </c>
      <c r="C13" s="16" t="s">
        <v>80</v>
      </c>
      <c r="D13" s="16" t="s">
        <v>71</v>
      </c>
      <c r="E13" s="16" t="s">
        <v>71</v>
      </c>
      <c r="F13" s="16" t="s">
        <v>71</v>
      </c>
      <c r="G13" s="16" t="s">
        <v>71</v>
      </c>
      <c r="H13" s="16" t="s">
        <v>89</v>
      </c>
      <c r="I13" s="21">
        <f t="shared" si="0"/>
        <v>0.66666666666666663</v>
      </c>
      <c r="J13" s="16">
        <f t="shared" si="1"/>
        <v>2</v>
      </c>
      <c r="K13" s="9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x14ac:dyDescent="0.3">
      <c r="A14" s="16" t="s">
        <v>291</v>
      </c>
      <c r="B14" s="9" t="str">
        <f>IFERROR(INDEX('Employee Master'!$B$10:$B$109,MATCH(A14,'Employee Master'!$A$10:$A$109,0)),"")</f>
        <v>Murugesan</v>
      </c>
      <c r="C14" s="16" t="s">
        <v>89</v>
      </c>
      <c r="D14" s="16" t="s">
        <v>71</v>
      </c>
      <c r="E14" s="16" t="s">
        <v>71</v>
      </c>
      <c r="F14" s="16" t="s">
        <v>71</v>
      </c>
      <c r="G14" s="16" t="s">
        <v>89</v>
      </c>
      <c r="H14" s="16" t="s">
        <v>71</v>
      </c>
      <c r="I14" s="21">
        <f t="shared" si="0"/>
        <v>0.66666666666666663</v>
      </c>
      <c r="J14" s="16">
        <f t="shared" si="1"/>
        <v>2</v>
      </c>
      <c r="K14" s="9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0" x14ac:dyDescent="0.3">
      <c r="A15" s="16" t="s">
        <v>292</v>
      </c>
      <c r="B15" s="9" t="str">
        <f>IFERROR(INDEX('Employee Master'!$B$10:$B$109,MATCH(A15,'Employee Master'!$A$10:$A$109,0)),"")</f>
        <v>Elango K</v>
      </c>
      <c r="C15" s="16" t="s">
        <v>71</v>
      </c>
      <c r="D15" s="16" t="s">
        <v>71</v>
      </c>
      <c r="E15" s="16" t="s">
        <v>71</v>
      </c>
      <c r="F15" s="16" t="s">
        <v>71</v>
      </c>
      <c r="G15" s="16" t="s">
        <v>95</v>
      </c>
      <c r="H15" s="16" t="s">
        <v>80</v>
      </c>
      <c r="I15" s="21">
        <f t="shared" si="0"/>
        <v>0.66666666666666663</v>
      </c>
      <c r="J15" s="16">
        <f t="shared" si="1"/>
        <v>2</v>
      </c>
      <c r="K15" s="9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x14ac:dyDescent="0.3">
      <c r="A16" s="16" t="s">
        <v>293</v>
      </c>
      <c r="B16" s="9" t="str">
        <f>IFERROR(INDEX('Employee Master'!$B$10:$B$109,MATCH(A16,'Employee Master'!$A$10:$A$109,0)),"")</f>
        <v>Murugan</v>
      </c>
      <c r="C16" s="16" t="s">
        <v>71</v>
      </c>
      <c r="D16" s="16" t="s">
        <v>71</v>
      </c>
      <c r="E16" s="16" t="s">
        <v>95</v>
      </c>
      <c r="F16" s="16" t="s">
        <v>80</v>
      </c>
      <c r="G16" s="16" t="s">
        <v>71</v>
      </c>
      <c r="H16" s="16" t="s">
        <v>71</v>
      </c>
      <c r="I16" s="21">
        <f t="shared" si="0"/>
        <v>0.66666666666666663</v>
      </c>
      <c r="J16" s="16">
        <f t="shared" si="1"/>
        <v>2</v>
      </c>
      <c r="K16" s="9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 x14ac:dyDescent="0.3">
      <c r="A17" s="16" t="s">
        <v>294</v>
      </c>
      <c r="B17" s="9" t="str">
        <f>IFERROR(INDEX('Employee Master'!$B$10:$B$109,MATCH(A17,'Employee Master'!$A$10:$A$109,0)),"")</f>
        <v>Bala Murugan</v>
      </c>
      <c r="C17" s="16" t="s">
        <v>95</v>
      </c>
      <c r="D17" s="16" t="s">
        <v>71</v>
      </c>
      <c r="E17" s="16" t="s">
        <v>95</v>
      </c>
      <c r="F17" s="16" t="s">
        <v>71</v>
      </c>
      <c r="G17" s="16" t="s">
        <v>80</v>
      </c>
      <c r="H17" s="16" t="s">
        <v>71</v>
      </c>
      <c r="I17" s="21">
        <f t="shared" si="0"/>
        <v>0.5</v>
      </c>
      <c r="J17" s="16">
        <f t="shared" si="1"/>
        <v>3</v>
      </c>
      <c r="K17" s="9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x14ac:dyDescent="0.3">
      <c r="A18" s="16" t="s">
        <v>295</v>
      </c>
      <c r="B18" s="9" t="str">
        <f>IFERROR(INDEX('Employee Master'!$B$10:$B$109,MATCH(A18,'Employee Master'!$A$10:$A$109,0)),"")</f>
        <v>Murugesan V</v>
      </c>
      <c r="C18" s="16" t="s">
        <v>80</v>
      </c>
      <c r="D18" s="16" t="s">
        <v>71</v>
      </c>
      <c r="E18" s="16" t="s">
        <v>71</v>
      </c>
      <c r="F18" s="16" t="s">
        <v>80</v>
      </c>
      <c r="G18" s="16" t="s">
        <v>71</v>
      </c>
      <c r="H18" s="16" t="s">
        <v>71</v>
      </c>
      <c r="I18" s="21">
        <f t="shared" si="0"/>
        <v>0.66666666666666663</v>
      </c>
      <c r="J18" s="16">
        <f t="shared" si="1"/>
        <v>2</v>
      </c>
      <c r="K18" s="9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x14ac:dyDescent="0.3">
      <c r="A19" s="16" t="s">
        <v>296</v>
      </c>
      <c r="B19" s="9" t="str">
        <f>IFERROR(INDEX('Employee Master'!$B$10:$B$109,MATCH(A19,'Employee Master'!$A$10:$A$109,0)),"")</f>
        <v>Elango P</v>
      </c>
      <c r="C19" s="16" t="s">
        <v>71</v>
      </c>
      <c r="D19" s="16" t="s">
        <v>71</v>
      </c>
      <c r="E19" s="16" t="s">
        <v>80</v>
      </c>
      <c r="F19" s="16" t="s">
        <v>71</v>
      </c>
      <c r="G19" s="16" t="s">
        <v>89</v>
      </c>
      <c r="H19" s="16" t="s">
        <v>80</v>
      </c>
      <c r="I19" s="21">
        <f t="shared" si="0"/>
        <v>0.5</v>
      </c>
      <c r="J19" s="16">
        <f t="shared" si="1"/>
        <v>3</v>
      </c>
      <c r="K19" s="9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x14ac:dyDescent="0.3">
      <c r="A20" s="16" t="s">
        <v>297</v>
      </c>
      <c r="B20" s="9" t="str">
        <f>IFERROR(INDEX('Employee Master'!$B$10:$B$109,MATCH(A20,'Employee Master'!$A$10:$A$109,0)),"")</f>
        <v>Senthil Kumar K</v>
      </c>
      <c r="C20" s="16" t="s">
        <v>71</v>
      </c>
      <c r="D20" s="16" t="s">
        <v>71</v>
      </c>
      <c r="E20" s="16" t="s">
        <v>80</v>
      </c>
      <c r="F20" s="16" t="s">
        <v>71</v>
      </c>
      <c r="G20" s="16" t="s">
        <v>95</v>
      </c>
      <c r="H20" s="16" t="s">
        <v>71</v>
      </c>
      <c r="I20" s="21">
        <f t="shared" si="0"/>
        <v>0.66666666666666663</v>
      </c>
      <c r="J20" s="16">
        <f t="shared" si="1"/>
        <v>2</v>
      </c>
      <c r="K20" s="9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x14ac:dyDescent="0.3">
      <c r="A21" s="16" t="s">
        <v>298</v>
      </c>
      <c r="B21" s="9" t="str">
        <f>IFERROR(INDEX('Employee Master'!$B$10:$B$109,MATCH(A21,'Employee Master'!$A$10:$A$109,0)),"")</f>
        <v>Saravanan P</v>
      </c>
      <c r="C21" s="16" t="s">
        <v>71</v>
      </c>
      <c r="D21" s="16" t="s">
        <v>71</v>
      </c>
      <c r="E21" s="16" t="s">
        <v>80</v>
      </c>
      <c r="F21" s="16" t="s">
        <v>71</v>
      </c>
      <c r="G21" s="16" t="s">
        <v>71</v>
      </c>
      <c r="H21" s="16" t="s">
        <v>71</v>
      </c>
      <c r="I21" s="21">
        <f t="shared" si="0"/>
        <v>0.83333333333333337</v>
      </c>
      <c r="J21" s="16">
        <f t="shared" si="1"/>
        <v>1</v>
      </c>
      <c r="K21" s="9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x14ac:dyDescent="0.3">
      <c r="A22" s="16" t="s">
        <v>299</v>
      </c>
      <c r="B22" s="9" t="str">
        <f>IFERROR(INDEX('Employee Master'!$B$10:$B$109,MATCH(A22,'Employee Master'!$A$10:$A$109,0)),"")</f>
        <v>Karthik V</v>
      </c>
      <c r="C22" s="16" t="s">
        <v>71</v>
      </c>
      <c r="D22" s="16" t="s">
        <v>71</v>
      </c>
      <c r="E22" s="16" t="s">
        <v>71</v>
      </c>
      <c r="F22" s="16" t="s">
        <v>89</v>
      </c>
      <c r="G22" s="16" t="s">
        <v>80</v>
      </c>
      <c r="H22" s="16" t="s">
        <v>80</v>
      </c>
      <c r="I22" s="21">
        <f t="shared" si="0"/>
        <v>0.5</v>
      </c>
      <c r="J22" s="16">
        <f t="shared" si="1"/>
        <v>3</v>
      </c>
      <c r="K22" s="9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0" x14ac:dyDescent="0.3">
      <c r="A23" s="16" t="s">
        <v>300</v>
      </c>
      <c r="B23" s="9" t="str">
        <f>IFERROR(INDEX('Employee Master'!$B$10:$B$109,MATCH(A23,'Employee Master'!$A$10:$A$109,0)),"")</f>
        <v>Senthil Kumar</v>
      </c>
      <c r="C23" s="16" t="s">
        <v>71</v>
      </c>
      <c r="D23" s="16" t="s">
        <v>71</v>
      </c>
      <c r="E23" s="16" t="s">
        <v>89</v>
      </c>
      <c r="F23" s="16" t="s">
        <v>95</v>
      </c>
      <c r="G23" s="16" t="s">
        <v>71</v>
      </c>
      <c r="H23" s="16" t="s">
        <v>95</v>
      </c>
      <c r="I23" s="21">
        <f t="shared" si="0"/>
        <v>0.5</v>
      </c>
      <c r="J23" s="16">
        <f t="shared" si="1"/>
        <v>3</v>
      </c>
      <c r="K23" s="9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spans="1:50" x14ac:dyDescent="0.3">
      <c r="A24" s="16" t="s">
        <v>301</v>
      </c>
      <c r="B24" s="9" t="str">
        <f>IFERROR(INDEX('Employee Master'!$B$10:$B$109,MATCH(A24,'Employee Master'!$A$10:$A$109,0)),"")</f>
        <v>Gopinath P</v>
      </c>
      <c r="C24" s="16" t="s">
        <v>80</v>
      </c>
      <c r="D24" s="16" t="s">
        <v>71</v>
      </c>
      <c r="E24" s="16" t="s">
        <v>80</v>
      </c>
      <c r="F24" s="16" t="s">
        <v>71</v>
      </c>
      <c r="G24" s="16" t="s">
        <v>71</v>
      </c>
      <c r="H24" s="16" t="s">
        <v>71</v>
      </c>
      <c r="I24" s="21">
        <f t="shared" si="0"/>
        <v>0.66666666666666663</v>
      </c>
      <c r="J24" s="16">
        <f t="shared" si="1"/>
        <v>2</v>
      </c>
      <c r="K24" s="9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 x14ac:dyDescent="0.3">
      <c r="A25" s="16" t="s">
        <v>302</v>
      </c>
      <c r="B25" s="9" t="str">
        <f>IFERROR(INDEX('Employee Master'!$B$10:$B$109,MATCH(A25,'Employee Master'!$A$10:$A$109,0)),"")</f>
        <v>Muthu Raj</v>
      </c>
      <c r="C25" s="16" t="s">
        <v>71</v>
      </c>
      <c r="D25" s="16" t="s">
        <v>71</v>
      </c>
      <c r="E25" s="16" t="s">
        <v>80</v>
      </c>
      <c r="F25" s="16" t="s">
        <v>80</v>
      </c>
      <c r="G25" s="16" t="s">
        <v>95</v>
      </c>
      <c r="H25" s="16" t="s">
        <v>71</v>
      </c>
      <c r="I25" s="21">
        <f t="shared" si="0"/>
        <v>0.5</v>
      </c>
      <c r="J25" s="16">
        <f t="shared" si="1"/>
        <v>3</v>
      </c>
      <c r="K25" s="9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x14ac:dyDescent="0.3">
      <c r="A26" s="16" t="s">
        <v>303</v>
      </c>
      <c r="B26" s="9" t="str">
        <f>IFERROR(INDEX('Employee Master'!$B$10:$B$109,MATCH(A26,'Employee Master'!$A$10:$A$109,0)),"")</f>
        <v>Senthil Kumar S</v>
      </c>
      <c r="C26" s="16" t="s">
        <v>71</v>
      </c>
      <c r="D26" s="16" t="s">
        <v>71</v>
      </c>
      <c r="E26" s="16" t="s">
        <v>71</v>
      </c>
      <c r="F26" s="16" t="s">
        <v>89</v>
      </c>
      <c r="G26" s="16" t="s">
        <v>71</v>
      </c>
      <c r="H26" s="16" t="s">
        <v>71</v>
      </c>
      <c r="I26" s="21">
        <f t="shared" si="0"/>
        <v>0.83333333333333337</v>
      </c>
      <c r="J26" s="16">
        <f t="shared" si="1"/>
        <v>1</v>
      </c>
      <c r="K26" s="9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 x14ac:dyDescent="0.3">
      <c r="A27" s="16" t="s">
        <v>304</v>
      </c>
      <c r="B27" s="9" t="str">
        <f>IFERROR(INDEX('Employee Master'!$B$10:$B$109,MATCH(A27,'Employee Master'!$A$10:$A$109,0)),"")</f>
        <v>Sowmya V</v>
      </c>
      <c r="C27" s="16" t="s">
        <v>71</v>
      </c>
      <c r="D27" s="16" t="s">
        <v>71</v>
      </c>
      <c r="E27" s="16" t="s">
        <v>71</v>
      </c>
      <c r="F27" s="16" t="s">
        <v>71</v>
      </c>
      <c r="G27" s="16" t="s">
        <v>71</v>
      </c>
      <c r="H27" s="16" t="s">
        <v>71</v>
      </c>
      <c r="I27" s="21">
        <f t="shared" si="0"/>
        <v>1</v>
      </c>
      <c r="J27" s="16">
        <f t="shared" si="1"/>
        <v>0</v>
      </c>
      <c r="K27" s="9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x14ac:dyDescent="0.3">
      <c r="A28" s="16" t="s">
        <v>305</v>
      </c>
      <c r="B28" s="9" t="str">
        <f>IFERROR(INDEX('Employee Master'!$B$10:$B$109,MATCH(A28,'Employee Master'!$A$10:$A$109,0)),"")</f>
        <v>Nandhini</v>
      </c>
      <c r="C28" s="16" t="s">
        <v>71</v>
      </c>
      <c r="D28" s="16" t="s">
        <v>71</v>
      </c>
      <c r="E28" s="16" t="s">
        <v>80</v>
      </c>
      <c r="F28" s="16" t="s">
        <v>71</v>
      </c>
      <c r="G28" s="16" t="s">
        <v>71</v>
      </c>
      <c r="H28" s="16" t="s">
        <v>71</v>
      </c>
      <c r="I28" s="21">
        <f t="shared" si="0"/>
        <v>0.83333333333333337</v>
      </c>
      <c r="J28" s="16">
        <f t="shared" si="1"/>
        <v>1</v>
      </c>
      <c r="K28" s="9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x14ac:dyDescent="0.3">
      <c r="A29" s="16" t="s">
        <v>306</v>
      </c>
      <c r="B29" s="9" t="str">
        <f>IFERROR(INDEX('Employee Master'!$B$10:$B$109,MATCH(A29,'Employee Master'!$A$10:$A$109,0)),"")</f>
        <v>Divya</v>
      </c>
      <c r="C29" s="16" t="s">
        <v>71</v>
      </c>
      <c r="D29" s="16" t="s">
        <v>71</v>
      </c>
      <c r="E29" s="16" t="s">
        <v>80</v>
      </c>
      <c r="F29" s="16" t="s">
        <v>71</v>
      </c>
      <c r="G29" s="16" t="s">
        <v>71</v>
      </c>
      <c r="H29" s="16" t="s">
        <v>71</v>
      </c>
      <c r="I29" s="21">
        <f t="shared" si="0"/>
        <v>0.83333333333333337</v>
      </c>
      <c r="J29" s="16">
        <f t="shared" si="1"/>
        <v>1</v>
      </c>
      <c r="K29" s="9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spans="1:50" x14ac:dyDescent="0.3">
      <c r="A30" s="16" t="s">
        <v>307</v>
      </c>
      <c r="B30" s="9" t="str">
        <f>IFERROR(INDEX('Employee Master'!$B$10:$B$109,MATCH(A30,'Employee Master'!$A$10:$A$109,0)),"")</f>
        <v>Divya K</v>
      </c>
      <c r="C30" s="16" t="s">
        <v>80</v>
      </c>
      <c r="D30" s="16" t="s">
        <v>89</v>
      </c>
      <c r="E30" s="16" t="s">
        <v>71</v>
      </c>
      <c r="F30" s="16" t="s">
        <v>89</v>
      </c>
      <c r="G30" s="16" t="s">
        <v>71</v>
      </c>
      <c r="H30" s="16" t="s">
        <v>89</v>
      </c>
      <c r="I30" s="21">
        <f t="shared" si="0"/>
        <v>0.33333333333333331</v>
      </c>
      <c r="J30" s="16">
        <f t="shared" si="1"/>
        <v>4</v>
      </c>
      <c r="K30" s="9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spans="1:50" x14ac:dyDescent="0.3">
      <c r="A31" s="16" t="s">
        <v>308</v>
      </c>
      <c r="B31" s="9" t="str">
        <f>IFERROR(INDEX('Employee Master'!$B$10:$B$109,MATCH(A31,'Employee Master'!$A$10:$A$109,0)),"")</f>
        <v>Karthik S</v>
      </c>
      <c r="C31" s="16" t="s">
        <v>71</v>
      </c>
      <c r="D31" s="16" t="s">
        <v>71</v>
      </c>
      <c r="E31" s="16" t="s">
        <v>71</v>
      </c>
      <c r="F31" s="16" t="s">
        <v>71</v>
      </c>
      <c r="G31" s="16" t="s">
        <v>71</v>
      </c>
      <c r="H31" s="16" t="s">
        <v>71</v>
      </c>
      <c r="I31" s="21">
        <f t="shared" si="0"/>
        <v>1</v>
      </c>
      <c r="J31" s="16">
        <f t="shared" si="1"/>
        <v>0</v>
      </c>
      <c r="K31" s="9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spans="1:50" x14ac:dyDescent="0.3">
      <c r="A32" s="16" t="s">
        <v>309</v>
      </c>
      <c r="B32" s="9" t="str">
        <f>IFERROR(INDEX('Employee Master'!$B$10:$B$109,MATCH(A32,'Employee Master'!$A$10:$A$109,0)),"")</f>
        <v>Dinesh</v>
      </c>
      <c r="C32" s="16" t="s">
        <v>71</v>
      </c>
      <c r="D32" s="16" t="s">
        <v>71</v>
      </c>
      <c r="E32" s="16" t="s">
        <v>71</v>
      </c>
      <c r="F32" s="16" t="s">
        <v>89</v>
      </c>
      <c r="G32" s="16" t="s">
        <v>71</v>
      </c>
      <c r="H32" s="16" t="s">
        <v>71</v>
      </c>
      <c r="I32" s="21">
        <f t="shared" si="0"/>
        <v>0.83333333333333337</v>
      </c>
      <c r="J32" s="16">
        <f t="shared" si="1"/>
        <v>1</v>
      </c>
      <c r="K32" s="9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spans="1:50" x14ac:dyDescent="0.3">
      <c r="A33" s="16" t="s">
        <v>310</v>
      </c>
      <c r="B33" s="9" t="str">
        <f>IFERROR(INDEX('Employee Master'!$B$10:$B$109,MATCH(A33,'Employee Master'!$A$10:$A$109,0)),"")</f>
        <v>Kumaresan M</v>
      </c>
      <c r="C33" s="16" t="s">
        <v>71</v>
      </c>
      <c r="D33" s="16" t="s">
        <v>89</v>
      </c>
      <c r="E33" s="16" t="s">
        <v>71</v>
      </c>
      <c r="F33" s="16" t="s">
        <v>71</v>
      </c>
      <c r="G33" s="16" t="s">
        <v>71</v>
      </c>
      <c r="H33" s="16" t="s">
        <v>71</v>
      </c>
      <c r="I33" s="21">
        <f t="shared" si="0"/>
        <v>0.83333333333333337</v>
      </c>
      <c r="J33" s="16">
        <f t="shared" si="1"/>
        <v>1</v>
      </c>
      <c r="K33" s="9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spans="1:50" x14ac:dyDescent="0.3">
      <c r="A34" s="16" t="s">
        <v>311</v>
      </c>
      <c r="B34" s="9" t="str">
        <f>IFERROR(INDEX('Employee Master'!$B$10:$B$109,MATCH(A34,'Employee Master'!$A$10:$A$109,0)),"")</f>
        <v>Vijay P</v>
      </c>
      <c r="C34" s="16" t="s">
        <v>71</v>
      </c>
      <c r="D34" s="16" t="s">
        <v>71</v>
      </c>
      <c r="E34" s="16" t="s">
        <v>80</v>
      </c>
      <c r="F34" s="16" t="s">
        <v>71</v>
      </c>
      <c r="G34" s="16" t="s">
        <v>95</v>
      </c>
      <c r="H34" s="16" t="s">
        <v>71</v>
      </c>
      <c r="I34" s="21">
        <f t="shared" si="0"/>
        <v>0.66666666666666663</v>
      </c>
      <c r="J34" s="16">
        <f t="shared" si="1"/>
        <v>2</v>
      </c>
      <c r="K34" s="9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spans="1:50" x14ac:dyDescent="0.3">
      <c r="A35" s="16" t="s">
        <v>312</v>
      </c>
      <c r="B35" s="9" t="str">
        <f>IFERROR(INDEX('Employee Master'!$B$10:$B$109,MATCH(A35,'Employee Master'!$A$10:$A$109,0)),"")</f>
        <v>Divya R</v>
      </c>
      <c r="C35" s="16" t="s">
        <v>71</v>
      </c>
      <c r="D35" s="16" t="s">
        <v>71</v>
      </c>
      <c r="E35" s="16" t="s">
        <v>71</v>
      </c>
      <c r="F35" s="16" t="s">
        <v>71</v>
      </c>
      <c r="G35" s="16" t="s">
        <v>71</v>
      </c>
      <c r="H35" s="16" t="s">
        <v>80</v>
      </c>
      <c r="I35" s="21">
        <f t="shared" si="0"/>
        <v>0.83333333333333337</v>
      </c>
      <c r="J35" s="16">
        <f t="shared" si="1"/>
        <v>1</v>
      </c>
      <c r="K35" s="9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spans="1:50" x14ac:dyDescent="0.3">
      <c r="A36" s="16" t="s">
        <v>313</v>
      </c>
      <c r="B36" s="9" t="str">
        <f>IFERROR(INDEX('Employee Master'!$B$10:$B$109,MATCH(A36,'Employee Master'!$A$10:$A$109,0)),"")</f>
        <v>Selvam R</v>
      </c>
      <c r="C36" s="16" t="s">
        <v>89</v>
      </c>
      <c r="D36" s="16" t="s">
        <v>89</v>
      </c>
      <c r="E36" s="16" t="s">
        <v>71</v>
      </c>
      <c r="F36" s="16" t="s">
        <v>89</v>
      </c>
      <c r="G36" s="16" t="s">
        <v>71</v>
      </c>
      <c r="H36" s="16" t="s">
        <v>71</v>
      </c>
      <c r="I36" s="21">
        <f t="shared" si="0"/>
        <v>0.5</v>
      </c>
      <c r="J36" s="16">
        <f t="shared" si="1"/>
        <v>3</v>
      </c>
      <c r="K36" s="9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spans="1:50" x14ac:dyDescent="0.3">
      <c r="A37" s="16" t="s">
        <v>314</v>
      </c>
      <c r="B37" s="9" t="str">
        <f>IFERROR(INDEX('Employee Master'!$B$10:$B$109,MATCH(A37,'Employee Master'!$A$10:$A$109,0)),"")</f>
        <v>Saravanan</v>
      </c>
      <c r="C37" s="16" t="s">
        <v>71</v>
      </c>
      <c r="D37" s="16" t="s">
        <v>71</v>
      </c>
      <c r="E37" s="16" t="s">
        <v>71</v>
      </c>
      <c r="F37" s="16" t="s">
        <v>89</v>
      </c>
      <c r="G37" s="16" t="s">
        <v>71</v>
      </c>
      <c r="H37" s="16" t="s">
        <v>71</v>
      </c>
      <c r="I37" s="21">
        <f t="shared" si="0"/>
        <v>0.83333333333333337</v>
      </c>
      <c r="J37" s="16">
        <f t="shared" si="1"/>
        <v>1</v>
      </c>
      <c r="K37" s="9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spans="1:50" x14ac:dyDescent="0.3">
      <c r="A38" s="16" t="s">
        <v>315</v>
      </c>
      <c r="B38" s="9" t="str">
        <f>IFERROR(INDEX('Employee Master'!$B$10:$B$109,MATCH(A38,'Employee Master'!$A$10:$A$109,0)),"")</f>
        <v>Nandhini R</v>
      </c>
      <c r="C38" s="16" t="s">
        <v>80</v>
      </c>
      <c r="D38" s="16" t="s">
        <v>71</v>
      </c>
      <c r="E38" s="16" t="s">
        <v>71</v>
      </c>
      <c r="F38" s="16" t="s">
        <v>80</v>
      </c>
      <c r="G38" s="16" t="s">
        <v>71</v>
      </c>
      <c r="H38" s="16" t="s">
        <v>95</v>
      </c>
      <c r="I38" s="21">
        <f t="shared" si="0"/>
        <v>0.5</v>
      </c>
      <c r="J38" s="16">
        <f t="shared" si="1"/>
        <v>3</v>
      </c>
      <c r="K38" s="9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spans="1:50" x14ac:dyDescent="0.3">
      <c r="A39" s="16" t="s">
        <v>316</v>
      </c>
      <c r="B39" s="9" t="str">
        <f>IFERROR(INDEX('Employee Master'!$B$10:$B$109,MATCH(A39,'Employee Master'!$A$10:$A$109,0)),"")</f>
        <v>Kavitha R</v>
      </c>
      <c r="C39" s="16" t="s">
        <v>95</v>
      </c>
      <c r="D39" s="16" t="s">
        <v>71</v>
      </c>
      <c r="E39" s="16" t="s">
        <v>71</v>
      </c>
      <c r="F39" s="16" t="s">
        <v>71</v>
      </c>
      <c r="G39" s="16" t="s">
        <v>89</v>
      </c>
      <c r="H39" s="16" t="s">
        <v>71</v>
      </c>
      <c r="I39" s="21">
        <f t="shared" si="0"/>
        <v>0.66666666666666663</v>
      </c>
      <c r="J39" s="16">
        <f t="shared" si="1"/>
        <v>2</v>
      </c>
      <c r="K39" s="9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spans="1:50" x14ac:dyDescent="0.3">
      <c r="A40" s="16" t="s">
        <v>317</v>
      </c>
      <c r="B40" s="9" t="str">
        <f>IFERROR(INDEX('Employee Master'!$B$10:$B$109,MATCH(A40,'Employee Master'!$A$10:$A$109,0)),"")</f>
        <v>Suresh K</v>
      </c>
      <c r="C40" s="16" t="s">
        <v>71</v>
      </c>
      <c r="D40" s="16" t="s">
        <v>80</v>
      </c>
      <c r="E40" s="16" t="s">
        <v>80</v>
      </c>
      <c r="F40" s="16" t="s">
        <v>71</v>
      </c>
      <c r="G40" s="16" t="s">
        <v>71</v>
      </c>
      <c r="H40" s="16" t="s">
        <v>71</v>
      </c>
      <c r="I40" s="21">
        <f t="shared" si="0"/>
        <v>0.66666666666666663</v>
      </c>
      <c r="J40" s="16">
        <f t="shared" si="1"/>
        <v>2</v>
      </c>
      <c r="K40" s="9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spans="1:50" x14ac:dyDescent="0.3">
      <c r="A41" s="16" t="s">
        <v>318</v>
      </c>
      <c r="B41" s="9" t="str">
        <f>IFERROR(INDEX('Employee Master'!$B$10:$B$109,MATCH(A41,'Employee Master'!$A$10:$A$109,0)),"")</f>
        <v>Sathish M</v>
      </c>
      <c r="C41" s="16" t="s">
        <v>71</v>
      </c>
      <c r="D41" s="16" t="s">
        <v>71</v>
      </c>
      <c r="E41" s="16" t="s">
        <v>80</v>
      </c>
      <c r="F41" s="16" t="s">
        <v>71</v>
      </c>
      <c r="G41" s="16" t="s">
        <v>71</v>
      </c>
      <c r="H41" s="16" t="s">
        <v>71</v>
      </c>
      <c r="I41" s="21">
        <f t="shared" si="0"/>
        <v>0.83333333333333337</v>
      </c>
      <c r="J41" s="16">
        <f t="shared" si="1"/>
        <v>1</v>
      </c>
      <c r="K41" s="9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spans="1:50" x14ac:dyDescent="0.3">
      <c r="A42" s="16" t="s">
        <v>319</v>
      </c>
      <c r="B42" s="9" t="str">
        <f>IFERROR(INDEX('Employee Master'!$B$10:$B$109,MATCH(A42,'Employee Master'!$A$10:$A$109,0)),"")</f>
        <v>Selvam K</v>
      </c>
      <c r="C42" s="16" t="s">
        <v>71</v>
      </c>
      <c r="D42" s="16" t="s">
        <v>71</v>
      </c>
      <c r="E42" s="16" t="s">
        <v>71</v>
      </c>
      <c r="F42" s="16" t="s">
        <v>71</v>
      </c>
      <c r="G42" s="16" t="s">
        <v>71</v>
      </c>
      <c r="H42" s="16" t="s">
        <v>71</v>
      </c>
      <c r="I42" s="21">
        <f t="shared" ref="I42:I73" si="2">IF(A42="","",COUNTIF(C42:H42,"Available")/6)</f>
        <v>1</v>
      </c>
      <c r="J42" s="16">
        <f t="shared" ref="J42:J73" si="3">IF(A42="",0,6-COUNTIF(C42:H42,"Available"))</f>
        <v>0</v>
      </c>
      <c r="K42" s="9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 spans="1:50" x14ac:dyDescent="0.3">
      <c r="A43" s="16" t="s">
        <v>320</v>
      </c>
      <c r="B43" s="9" t="str">
        <f>IFERROR(INDEX('Employee Master'!$B$10:$B$109,MATCH(A43,'Employee Master'!$A$10:$A$109,0)),"")</f>
        <v>Revathi V</v>
      </c>
      <c r="C43" s="16" t="s">
        <v>80</v>
      </c>
      <c r="D43" s="16" t="s">
        <v>89</v>
      </c>
      <c r="E43" s="16" t="s">
        <v>89</v>
      </c>
      <c r="F43" s="16" t="s">
        <v>71</v>
      </c>
      <c r="G43" s="16" t="s">
        <v>89</v>
      </c>
      <c r="H43" s="16" t="s">
        <v>80</v>
      </c>
      <c r="I43" s="21">
        <f t="shared" si="2"/>
        <v>0.16666666666666666</v>
      </c>
      <c r="J43" s="16">
        <f t="shared" si="3"/>
        <v>5</v>
      </c>
      <c r="K43" s="9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spans="1:50" x14ac:dyDescent="0.3">
      <c r="A44" s="16" t="s">
        <v>321</v>
      </c>
      <c r="B44" s="9" t="str">
        <f>IFERROR(INDEX('Employee Master'!$B$10:$B$109,MATCH(A44,'Employee Master'!$A$10:$A$109,0)),"")</f>
        <v>Naveen M</v>
      </c>
      <c r="C44" s="16" t="s">
        <v>71</v>
      </c>
      <c r="D44" s="16" t="s">
        <v>80</v>
      </c>
      <c r="E44" s="16" t="s">
        <v>71</v>
      </c>
      <c r="F44" s="16" t="s">
        <v>71</v>
      </c>
      <c r="G44" s="16" t="s">
        <v>71</v>
      </c>
      <c r="H44" s="16" t="s">
        <v>80</v>
      </c>
      <c r="I44" s="21">
        <f t="shared" si="2"/>
        <v>0.66666666666666663</v>
      </c>
      <c r="J44" s="16">
        <f t="shared" si="3"/>
        <v>2</v>
      </c>
      <c r="K44" s="9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spans="1:50" x14ac:dyDescent="0.3">
      <c r="A45" s="16" t="s">
        <v>322</v>
      </c>
      <c r="B45" s="9" t="str">
        <f>IFERROR(INDEX('Employee Master'!$B$10:$B$109,MATCH(A45,'Employee Master'!$A$10:$A$109,0)),"")</f>
        <v>Kavitha K</v>
      </c>
      <c r="C45" s="16" t="s">
        <v>80</v>
      </c>
      <c r="D45" s="16" t="s">
        <v>95</v>
      </c>
      <c r="E45" s="16" t="s">
        <v>89</v>
      </c>
      <c r="F45" s="16" t="s">
        <v>71</v>
      </c>
      <c r="G45" s="16" t="s">
        <v>71</v>
      </c>
      <c r="H45" s="16" t="s">
        <v>71</v>
      </c>
      <c r="I45" s="21">
        <f t="shared" si="2"/>
        <v>0.5</v>
      </c>
      <c r="J45" s="16">
        <f t="shared" si="3"/>
        <v>3</v>
      </c>
      <c r="K45" s="9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spans="1:50" x14ac:dyDescent="0.3">
      <c r="A46" s="16" t="s">
        <v>339</v>
      </c>
      <c r="B46" s="9" t="str">
        <f>IFERROR(INDEX('Employee Master'!$B$10:$B$109,MATCH(A46,'Employee Master'!$A$10:$A$109,0)),"")</f>
        <v/>
      </c>
      <c r="C46" s="16"/>
      <c r="D46" s="16"/>
      <c r="E46" s="16"/>
      <c r="F46" s="16"/>
      <c r="G46" s="16"/>
      <c r="H46" s="16"/>
      <c r="I46" s="21">
        <f t="shared" si="2"/>
        <v>0</v>
      </c>
      <c r="J46" s="16">
        <f t="shared" si="3"/>
        <v>6</v>
      </c>
      <c r="K46" s="9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spans="1:50" x14ac:dyDescent="0.3">
      <c r="A47" s="16" t="s">
        <v>340</v>
      </c>
      <c r="B47" s="9" t="str">
        <f>IFERROR(INDEX('Employee Master'!$B$10:$B$109,MATCH(A47,'Employee Master'!$A$10:$A$109,0)),"")</f>
        <v/>
      </c>
      <c r="C47" s="16"/>
      <c r="D47" s="16"/>
      <c r="E47" s="16"/>
      <c r="F47" s="16"/>
      <c r="G47" s="16"/>
      <c r="H47" s="16"/>
      <c r="I47" s="21">
        <f t="shared" si="2"/>
        <v>0</v>
      </c>
      <c r="J47" s="16">
        <f t="shared" si="3"/>
        <v>6</v>
      </c>
      <c r="K47" s="9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spans="1:50" x14ac:dyDescent="0.3">
      <c r="A48" s="16" t="s">
        <v>341</v>
      </c>
      <c r="B48" s="9" t="str">
        <f>IFERROR(INDEX('Employee Master'!$B$10:$B$109,MATCH(A48,'Employee Master'!$A$10:$A$109,0)),"")</f>
        <v/>
      </c>
      <c r="C48" s="16"/>
      <c r="D48" s="16"/>
      <c r="E48" s="16"/>
      <c r="F48" s="16"/>
      <c r="G48" s="16"/>
      <c r="H48" s="16"/>
      <c r="I48" s="21">
        <f t="shared" si="2"/>
        <v>0</v>
      </c>
      <c r="J48" s="16">
        <f t="shared" si="3"/>
        <v>6</v>
      </c>
      <c r="K48" s="9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spans="1:50" x14ac:dyDescent="0.3">
      <c r="A49" s="16" t="s">
        <v>342</v>
      </c>
      <c r="B49" s="9" t="str">
        <f>IFERROR(INDEX('Employee Master'!$B$10:$B$109,MATCH(A49,'Employee Master'!$A$10:$A$109,0)),"")</f>
        <v/>
      </c>
      <c r="C49" s="16"/>
      <c r="D49" s="16"/>
      <c r="E49" s="16"/>
      <c r="F49" s="16"/>
      <c r="G49" s="16"/>
      <c r="H49" s="16"/>
      <c r="I49" s="21">
        <f t="shared" si="2"/>
        <v>0</v>
      </c>
      <c r="J49" s="16">
        <f t="shared" si="3"/>
        <v>6</v>
      </c>
      <c r="K49" s="9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spans="1:50" x14ac:dyDescent="0.3">
      <c r="A50" s="16" t="s">
        <v>343</v>
      </c>
      <c r="B50" s="9" t="str">
        <f>IFERROR(INDEX('Employee Master'!$B$10:$B$109,MATCH(A50,'Employee Master'!$A$10:$A$109,0)),"")</f>
        <v/>
      </c>
      <c r="C50" s="16"/>
      <c r="D50" s="16"/>
      <c r="E50" s="16"/>
      <c r="F50" s="16"/>
      <c r="G50" s="16"/>
      <c r="H50" s="16"/>
      <c r="I50" s="21">
        <f t="shared" si="2"/>
        <v>0</v>
      </c>
      <c r="J50" s="16">
        <f t="shared" si="3"/>
        <v>6</v>
      </c>
      <c r="K50" s="9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spans="1:50" x14ac:dyDescent="0.3">
      <c r="A51" s="16" t="s">
        <v>344</v>
      </c>
      <c r="B51" s="9" t="str">
        <f>IFERROR(INDEX('Employee Master'!$B$10:$B$109,MATCH(A51,'Employee Master'!$A$10:$A$109,0)),"")</f>
        <v/>
      </c>
      <c r="C51" s="16"/>
      <c r="D51" s="16"/>
      <c r="E51" s="16"/>
      <c r="F51" s="16"/>
      <c r="G51" s="16"/>
      <c r="H51" s="16"/>
      <c r="I51" s="21">
        <f t="shared" si="2"/>
        <v>0</v>
      </c>
      <c r="J51" s="16">
        <f t="shared" si="3"/>
        <v>6</v>
      </c>
      <c r="K51" s="9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spans="1:50" x14ac:dyDescent="0.3">
      <c r="A52" s="16" t="s">
        <v>345</v>
      </c>
      <c r="B52" s="9" t="str">
        <f>IFERROR(INDEX('Employee Master'!$B$10:$B$109,MATCH(A52,'Employee Master'!$A$10:$A$109,0)),"")</f>
        <v/>
      </c>
      <c r="C52" s="16"/>
      <c r="D52" s="16"/>
      <c r="E52" s="16"/>
      <c r="F52" s="16"/>
      <c r="G52" s="16"/>
      <c r="H52" s="16"/>
      <c r="I52" s="21">
        <f t="shared" si="2"/>
        <v>0</v>
      </c>
      <c r="J52" s="16">
        <f t="shared" si="3"/>
        <v>6</v>
      </c>
      <c r="K52" s="9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spans="1:50" x14ac:dyDescent="0.3">
      <c r="A53" s="16" t="s">
        <v>346</v>
      </c>
      <c r="B53" s="9" t="str">
        <f>IFERROR(INDEX('Employee Master'!$B$10:$B$109,MATCH(A53,'Employee Master'!$A$10:$A$109,0)),"")</f>
        <v/>
      </c>
      <c r="C53" s="16"/>
      <c r="D53" s="16"/>
      <c r="E53" s="16"/>
      <c r="F53" s="16"/>
      <c r="G53" s="16"/>
      <c r="H53" s="16"/>
      <c r="I53" s="21">
        <f t="shared" si="2"/>
        <v>0</v>
      </c>
      <c r="J53" s="16">
        <f t="shared" si="3"/>
        <v>6</v>
      </c>
      <c r="K53" s="9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spans="1:50" x14ac:dyDescent="0.3">
      <c r="A54" s="16" t="s">
        <v>347</v>
      </c>
      <c r="B54" s="9" t="str">
        <f>IFERROR(INDEX('Employee Master'!$B$10:$B$109,MATCH(A54,'Employee Master'!$A$10:$A$109,0)),"")</f>
        <v/>
      </c>
      <c r="C54" s="16"/>
      <c r="D54" s="16"/>
      <c r="E54" s="16"/>
      <c r="F54" s="16"/>
      <c r="G54" s="16"/>
      <c r="H54" s="16"/>
      <c r="I54" s="21">
        <f t="shared" si="2"/>
        <v>0</v>
      </c>
      <c r="J54" s="16">
        <f t="shared" si="3"/>
        <v>6</v>
      </c>
      <c r="K54" s="9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spans="1:50" x14ac:dyDescent="0.3">
      <c r="A55" s="16"/>
      <c r="B55" s="9" t="str">
        <f>IFERROR(INDEX('Employee Master'!$B$10:$B$109,MATCH(A55,'Employee Master'!$A$10:$A$109,0)),"")</f>
        <v/>
      </c>
      <c r="C55" s="16"/>
      <c r="D55" s="16"/>
      <c r="E55" s="16"/>
      <c r="F55" s="16"/>
      <c r="G55" s="16"/>
      <c r="H55" s="16"/>
      <c r="I55" s="21" t="str">
        <f t="shared" si="2"/>
        <v/>
      </c>
      <c r="J55" s="16">
        <f t="shared" si="3"/>
        <v>0</v>
      </c>
      <c r="K55" s="9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spans="1:50" x14ac:dyDescent="0.3">
      <c r="A56" s="16"/>
      <c r="B56" s="9" t="str">
        <f>IFERROR(INDEX('Employee Master'!$B$10:$B$109,MATCH(A56,'Employee Master'!$A$10:$A$109,0)),"")</f>
        <v/>
      </c>
      <c r="C56" s="16"/>
      <c r="D56" s="16"/>
      <c r="E56" s="16"/>
      <c r="F56" s="16"/>
      <c r="G56" s="16"/>
      <c r="H56" s="16"/>
      <c r="I56" s="21" t="str">
        <f t="shared" si="2"/>
        <v/>
      </c>
      <c r="J56" s="16">
        <f t="shared" si="3"/>
        <v>0</v>
      </c>
      <c r="K56" s="9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spans="1:50" x14ac:dyDescent="0.3">
      <c r="A57" s="16"/>
      <c r="B57" s="9" t="str">
        <f>IFERROR(INDEX('Employee Master'!$B$10:$B$109,MATCH(A57,'Employee Master'!$A$10:$A$109,0)),"")</f>
        <v/>
      </c>
      <c r="C57" s="16"/>
      <c r="D57" s="16"/>
      <c r="E57" s="16"/>
      <c r="F57" s="16"/>
      <c r="G57" s="16"/>
      <c r="H57" s="16"/>
      <c r="I57" s="21" t="str">
        <f t="shared" si="2"/>
        <v/>
      </c>
      <c r="J57" s="16">
        <f t="shared" si="3"/>
        <v>0</v>
      </c>
      <c r="K57" s="9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spans="1:50" x14ac:dyDescent="0.3">
      <c r="A58" s="16"/>
      <c r="B58" s="9" t="str">
        <f>IFERROR(INDEX('Employee Master'!$B$10:$B$109,MATCH(A58,'Employee Master'!$A$10:$A$109,0)),"")</f>
        <v/>
      </c>
      <c r="C58" s="16"/>
      <c r="D58" s="16"/>
      <c r="E58" s="16"/>
      <c r="F58" s="16"/>
      <c r="G58" s="16"/>
      <c r="H58" s="16"/>
      <c r="I58" s="21" t="str">
        <f t="shared" si="2"/>
        <v/>
      </c>
      <c r="J58" s="16">
        <f t="shared" si="3"/>
        <v>0</v>
      </c>
      <c r="K58" s="9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spans="1:50" x14ac:dyDescent="0.3">
      <c r="A59" s="16"/>
      <c r="B59" s="9" t="str">
        <f>IFERROR(INDEX('Employee Master'!$B$10:$B$109,MATCH(A59,'Employee Master'!$A$10:$A$109,0)),"")</f>
        <v/>
      </c>
      <c r="C59" s="16"/>
      <c r="D59" s="16"/>
      <c r="E59" s="16"/>
      <c r="F59" s="16"/>
      <c r="G59" s="16"/>
      <c r="H59" s="16"/>
      <c r="I59" s="21" t="str">
        <f t="shared" si="2"/>
        <v/>
      </c>
      <c r="J59" s="16">
        <f t="shared" si="3"/>
        <v>0</v>
      </c>
      <c r="K59" s="9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50" x14ac:dyDescent="0.3">
      <c r="A60" s="16"/>
      <c r="B60" s="9" t="str">
        <f>IFERROR(INDEX('Employee Master'!$B$10:$B$109,MATCH(A60,'Employee Master'!$A$10:$A$109,0)),"")</f>
        <v/>
      </c>
      <c r="C60" s="16"/>
      <c r="D60" s="16"/>
      <c r="E60" s="16"/>
      <c r="F60" s="16"/>
      <c r="G60" s="16"/>
      <c r="H60" s="16"/>
      <c r="I60" s="21" t="str">
        <f t="shared" si="2"/>
        <v/>
      </c>
      <c r="J60" s="16">
        <f t="shared" si="3"/>
        <v>0</v>
      </c>
      <c r="K60" s="9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50" x14ac:dyDescent="0.3">
      <c r="A61" s="16"/>
      <c r="B61" s="9" t="str">
        <f>IFERROR(INDEX('Employee Master'!$B$10:$B$109,MATCH(A61,'Employee Master'!$A$10:$A$109,0)),"")</f>
        <v/>
      </c>
      <c r="C61" s="16"/>
      <c r="D61" s="16"/>
      <c r="E61" s="16"/>
      <c r="F61" s="16"/>
      <c r="G61" s="16"/>
      <c r="H61" s="16"/>
      <c r="I61" s="21" t="str">
        <f t="shared" si="2"/>
        <v/>
      </c>
      <c r="J61" s="16">
        <f t="shared" si="3"/>
        <v>0</v>
      </c>
      <c r="K61" s="9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spans="1:50" x14ac:dyDescent="0.3">
      <c r="A62" s="16"/>
      <c r="B62" s="9" t="str">
        <f>IFERROR(INDEX('Employee Master'!$B$10:$B$109,MATCH(A62,'Employee Master'!$A$10:$A$109,0)),"")</f>
        <v/>
      </c>
      <c r="C62" s="16"/>
      <c r="D62" s="16"/>
      <c r="E62" s="16"/>
      <c r="F62" s="16"/>
      <c r="G62" s="16"/>
      <c r="H62" s="16"/>
      <c r="I62" s="21" t="str">
        <f t="shared" si="2"/>
        <v/>
      </c>
      <c r="J62" s="16">
        <f t="shared" si="3"/>
        <v>0</v>
      </c>
      <c r="K62" s="9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50" x14ac:dyDescent="0.3">
      <c r="A63" s="16"/>
      <c r="B63" s="9" t="str">
        <f>IFERROR(INDEX('Employee Master'!$B$10:$B$109,MATCH(A63,'Employee Master'!$A$10:$A$109,0)),"")</f>
        <v/>
      </c>
      <c r="C63" s="16"/>
      <c r="D63" s="16"/>
      <c r="E63" s="16"/>
      <c r="F63" s="16"/>
      <c r="G63" s="16"/>
      <c r="H63" s="16"/>
      <c r="I63" s="21" t="str">
        <f t="shared" si="2"/>
        <v/>
      </c>
      <c r="J63" s="16">
        <f t="shared" si="3"/>
        <v>0</v>
      </c>
      <c r="K63" s="9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50" x14ac:dyDescent="0.3">
      <c r="A64" s="16"/>
      <c r="B64" s="9" t="str">
        <f>IFERROR(INDEX('Employee Master'!$B$10:$B$109,MATCH(A64,'Employee Master'!$A$10:$A$109,0)),"")</f>
        <v/>
      </c>
      <c r="C64" s="16"/>
      <c r="D64" s="16"/>
      <c r="E64" s="16"/>
      <c r="F64" s="16"/>
      <c r="G64" s="16"/>
      <c r="H64" s="16"/>
      <c r="I64" s="21" t="str">
        <f t="shared" si="2"/>
        <v/>
      </c>
      <c r="J64" s="16">
        <f t="shared" si="3"/>
        <v>0</v>
      </c>
      <c r="K64" s="9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spans="1:50" x14ac:dyDescent="0.3">
      <c r="A65" s="16"/>
      <c r="B65" s="9" t="str">
        <f>IFERROR(INDEX('Employee Master'!$B$10:$B$109,MATCH(A65,'Employee Master'!$A$10:$A$109,0)),"")</f>
        <v/>
      </c>
      <c r="C65" s="16"/>
      <c r="D65" s="16"/>
      <c r="E65" s="16"/>
      <c r="F65" s="16"/>
      <c r="G65" s="16"/>
      <c r="H65" s="16"/>
      <c r="I65" s="21" t="str">
        <f t="shared" si="2"/>
        <v/>
      </c>
      <c r="J65" s="16">
        <f t="shared" si="3"/>
        <v>0</v>
      </c>
      <c r="K65" s="9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spans="1:50" x14ac:dyDescent="0.3">
      <c r="A66" s="16"/>
      <c r="B66" s="9" t="str">
        <f>IFERROR(INDEX('Employee Master'!$B$10:$B$109,MATCH(A66,'Employee Master'!$A$10:$A$109,0)),"")</f>
        <v/>
      </c>
      <c r="C66" s="16"/>
      <c r="D66" s="16"/>
      <c r="E66" s="16"/>
      <c r="F66" s="16"/>
      <c r="G66" s="16"/>
      <c r="H66" s="16"/>
      <c r="I66" s="21" t="str">
        <f t="shared" si="2"/>
        <v/>
      </c>
      <c r="J66" s="16">
        <f t="shared" si="3"/>
        <v>0</v>
      </c>
      <c r="K66" s="9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spans="1:50" x14ac:dyDescent="0.3">
      <c r="A67" s="16"/>
      <c r="B67" s="9" t="str">
        <f>IFERROR(INDEX('Employee Master'!$B$10:$B$109,MATCH(A67,'Employee Master'!$A$10:$A$109,0)),"")</f>
        <v/>
      </c>
      <c r="C67" s="16"/>
      <c r="D67" s="16"/>
      <c r="E67" s="16"/>
      <c r="F67" s="16"/>
      <c r="G67" s="16"/>
      <c r="H67" s="16"/>
      <c r="I67" s="21" t="str">
        <f t="shared" si="2"/>
        <v/>
      </c>
      <c r="J67" s="16">
        <f t="shared" si="3"/>
        <v>0</v>
      </c>
      <c r="K67" s="9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spans="1:50" x14ac:dyDescent="0.3">
      <c r="A68" s="16"/>
      <c r="B68" s="9" t="str">
        <f>IFERROR(INDEX('Employee Master'!$B$10:$B$109,MATCH(A68,'Employee Master'!$A$10:$A$109,0)),"")</f>
        <v/>
      </c>
      <c r="C68" s="16"/>
      <c r="D68" s="16"/>
      <c r="E68" s="16"/>
      <c r="F68" s="16"/>
      <c r="G68" s="16"/>
      <c r="H68" s="16"/>
      <c r="I68" s="21" t="str">
        <f t="shared" si="2"/>
        <v/>
      </c>
      <c r="J68" s="16">
        <f t="shared" si="3"/>
        <v>0</v>
      </c>
      <c r="K68" s="9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 x14ac:dyDescent="0.3">
      <c r="A69" s="16"/>
      <c r="B69" s="9" t="str">
        <f>IFERROR(INDEX('Employee Master'!$B$10:$B$109,MATCH(A69,'Employee Master'!$A$10:$A$109,0)),"")</f>
        <v/>
      </c>
      <c r="C69" s="16"/>
      <c r="D69" s="16"/>
      <c r="E69" s="16"/>
      <c r="F69" s="16"/>
      <c r="G69" s="16"/>
      <c r="H69" s="16"/>
      <c r="I69" s="21" t="str">
        <f t="shared" si="2"/>
        <v/>
      </c>
      <c r="J69" s="16">
        <f t="shared" si="3"/>
        <v>0</v>
      </c>
      <c r="K69" s="9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x14ac:dyDescent="0.3">
      <c r="A70" s="16"/>
      <c r="B70" s="9" t="str">
        <f>IFERROR(INDEX('Employee Master'!$B$10:$B$109,MATCH(A70,'Employee Master'!$A$10:$A$109,0)),"")</f>
        <v/>
      </c>
      <c r="C70" s="16"/>
      <c r="D70" s="16"/>
      <c r="E70" s="16"/>
      <c r="F70" s="16"/>
      <c r="G70" s="16"/>
      <c r="H70" s="16"/>
      <c r="I70" s="21" t="str">
        <f t="shared" si="2"/>
        <v/>
      </c>
      <c r="J70" s="16">
        <f t="shared" si="3"/>
        <v>0</v>
      </c>
      <c r="K70" s="9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x14ac:dyDescent="0.3">
      <c r="A71" s="16"/>
      <c r="B71" s="9" t="str">
        <f>IFERROR(INDEX('Employee Master'!$B$10:$B$109,MATCH(A71,'Employee Master'!$A$10:$A$109,0)),"")</f>
        <v/>
      </c>
      <c r="C71" s="16"/>
      <c r="D71" s="16"/>
      <c r="E71" s="16"/>
      <c r="F71" s="16"/>
      <c r="G71" s="16"/>
      <c r="H71" s="16"/>
      <c r="I71" s="21" t="str">
        <f t="shared" si="2"/>
        <v/>
      </c>
      <c r="J71" s="16">
        <f t="shared" si="3"/>
        <v>0</v>
      </c>
      <c r="K71" s="9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x14ac:dyDescent="0.3">
      <c r="A72" s="16"/>
      <c r="B72" s="9" t="str">
        <f>IFERROR(INDEX('Employee Master'!$B$10:$B$109,MATCH(A72,'Employee Master'!$A$10:$A$109,0)),"")</f>
        <v/>
      </c>
      <c r="C72" s="16"/>
      <c r="D72" s="16"/>
      <c r="E72" s="16"/>
      <c r="F72" s="16"/>
      <c r="G72" s="16"/>
      <c r="H72" s="16"/>
      <c r="I72" s="21" t="str">
        <f t="shared" si="2"/>
        <v/>
      </c>
      <c r="J72" s="16">
        <f t="shared" si="3"/>
        <v>0</v>
      </c>
      <c r="K72" s="9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 x14ac:dyDescent="0.3">
      <c r="A73" s="16"/>
      <c r="B73" s="9" t="str">
        <f>IFERROR(INDEX('Employee Master'!$B$10:$B$109,MATCH(A73,'Employee Master'!$A$10:$A$109,0)),"")</f>
        <v/>
      </c>
      <c r="C73" s="16"/>
      <c r="D73" s="16"/>
      <c r="E73" s="16"/>
      <c r="F73" s="16"/>
      <c r="G73" s="16"/>
      <c r="H73" s="16"/>
      <c r="I73" s="21" t="str">
        <f t="shared" si="2"/>
        <v/>
      </c>
      <c r="J73" s="16">
        <f t="shared" si="3"/>
        <v>0</v>
      </c>
      <c r="K73" s="9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 x14ac:dyDescent="0.3">
      <c r="A74" s="16"/>
      <c r="B74" s="9" t="str">
        <f>IFERROR(INDEX('Employee Master'!$B$10:$B$109,MATCH(A74,'Employee Master'!$A$10:$A$109,0)),"")</f>
        <v/>
      </c>
      <c r="C74" s="16"/>
      <c r="D74" s="16"/>
      <c r="E74" s="16"/>
      <c r="F74" s="16"/>
      <c r="G74" s="16"/>
      <c r="H74" s="16"/>
      <c r="I74" s="21" t="str">
        <f t="shared" ref="I74:I105" si="4">IF(A74="","",COUNTIF(C74:H74,"Available")/6)</f>
        <v/>
      </c>
      <c r="J74" s="16">
        <f t="shared" ref="J74:J109" si="5">IF(A74="",0,6-COUNTIF(C74:H74,"Available"))</f>
        <v>0</v>
      </c>
      <c r="K74" s="9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 x14ac:dyDescent="0.3">
      <c r="A75" s="16"/>
      <c r="B75" s="9" t="str">
        <f>IFERROR(INDEX('Employee Master'!$B$10:$B$109,MATCH(A75,'Employee Master'!$A$10:$A$109,0)),"")</f>
        <v/>
      </c>
      <c r="C75" s="16"/>
      <c r="D75" s="16"/>
      <c r="E75" s="16"/>
      <c r="F75" s="16"/>
      <c r="G75" s="16"/>
      <c r="H75" s="16"/>
      <c r="I75" s="21" t="str">
        <f t="shared" si="4"/>
        <v/>
      </c>
      <c r="J75" s="16">
        <f t="shared" si="5"/>
        <v>0</v>
      </c>
      <c r="K75" s="9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 x14ac:dyDescent="0.3">
      <c r="A76" s="16"/>
      <c r="B76" s="9" t="str">
        <f>IFERROR(INDEX('Employee Master'!$B$10:$B$109,MATCH(A76,'Employee Master'!$A$10:$A$109,0)),"")</f>
        <v/>
      </c>
      <c r="C76" s="16"/>
      <c r="D76" s="16"/>
      <c r="E76" s="16"/>
      <c r="F76" s="16"/>
      <c r="G76" s="16"/>
      <c r="H76" s="16"/>
      <c r="I76" s="21" t="str">
        <f t="shared" si="4"/>
        <v/>
      </c>
      <c r="J76" s="16">
        <f t="shared" si="5"/>
        <v>0</v>
      </c>
      <c r="K76" s="9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 x14ac:dyDescent="0.3">
      <c r="A77" s="16"/>
      <c r="B77" s="9" t="str">
        <f>IFERROR(INDEX('Employee Master'!$B$10:$B$109,MATCH(A77,'Employee Master'!$A$10:$A$109,0)),"")</f>
        <v/>
      </c>
      <c r="C77" s="16"/>
      <c r="D77" s="16"/>
      <c r="E77" s="16"/>
      <c r="F77" s="16"/>
      <c r="G77" s="16"/>
      <c r="H77" s="16"/>
      <c r="I77" s="21" t="str">
        <f t="shared" si="4"/>
        <v/>
      </c>
      <c r="J77" s="16">
        <f t="shared" si="5"/>
        <v>0</v>
      </c>
      <c r="K77" s="9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 x14ac:dyDescent="0.3">
      <c r="A78" s="16"/>
      <c r="B78" s="9" t="str">
        <f>IFERROR(INDEX('Employee Master'!$B$10:$B$109,MATCH(A78,'Employee Master'!$A$10:$A$109,0)),"")</f>
        <v/>
      </c>
      <c r="C78" s="16"/>
      <c r="D78" s="16"/>
      <c r="E78" s="16"/>
      <c r="F78" s="16"/>
      <c r="G78" s="16"/>
      <c r="H78" s="16"/>
      <c r="I78" s="21" t="str">
        <f t="shared" si="4"/>
        <v/>
      </c>
      <c r="J78" s="16">
        <f t="shared" si="5"/>
        <v>0</v>
      </c>
      <c r="K78" s="9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 x14ac:dyDescent="0.3">
      <c r="A79" s="16"/>
      <c r="B79" s="9" t="str">
        <f>IFERROR(INDEX('Employee Master'!$B$10:$B$109,MATCH(A79,'Employee Master'!$A$10:$A$109,0)),"")</f>
        <v/>
      </c>
      <c r="C79" s="16"/>
      <c r="D79" s="16"/>
      <c r="E79" s="16"/>
      <c r="F79" s="16"/>
      <c r="G79" s="16"/>
      <c r="H79" s="16"/>
      <c r="I79" s="21" t="str">
        <f t="shared" si="4"/>
        <v/>
      </c>
      <c r="J79" s="16">
        <f t="shared" si="5"/>
        <v>0</v>
      </c>
      <c r="K79" s="9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 x14ac:dyDescent="0.3">
      <c r="A80" s="16"/>
      <c r="B80" s="9" t="str">
        <f>IFERROR(INDEX('Employee Master'!$B$10:$B$109,MATCH(A80,'Employee Master'!$A$10:$A$109,0)),"")</f>
        <v/>
      </c>
      <c r="C80" s="16"/>
      <c r="D80" s="16"/>
      <c r="E80" s="16"/>
      <c r="F80" s="16"/>
      <c r="G80" s="16"/>
      <c r="H80" s="16"/>
      <c r="I80" s="21" t="str">
        <f t="shared" si="4"/>
        <v/>
      </c>
      <c r="J80" s="16">
        <f t="shared" si="5"/>
        <v>0</v>
      </c>
      <c r="K80" s="9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 x14ac:dyDescent="0.3">
      <c r="A81" s="16"/>
      <c r="B81" s="9" t="str">
        <f>IFERROR(INDEX('Employee Master'!$B$10:$B$109,MATCH(A81,'Employee Master'!$A$10:$A$109,0)),"")</f>
        <v/>
      </c>
      <c r="C81" s="16"/>
      <c r="D81" s="16"/>
      <c r="E81" s="16"/>
      <c r="F81" s="16"/>
      <c r="G81" s="16"/>
      <c r="H81" s="16"/>
      <c r="I81" s="21" t="str">
        <f t="shared" si="4"/>
        <v/>
      </c>
      <c r="J81" s="16">
        <f t="shared" si="5"/>
        <v>0</v>
      </c>
      <c r="K81" s="9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 x14ac:dyDescent="0.3">
      <c r="A82" s="16"/>
      <c r="B82" s="9" t="str">
        <f>IFERROR(INDEX('Employee Master'!$B$10:$B$109,MATCH(A82,'Employee Master'!$A$10:$A$109,0)),"")</f>
        <v/>
      </c>
      <c r="C82" s="16"/>
      <c r="D82" s="16"/>
      <c r="E82" s="16"/>
      <c r="F82" s="16"/>
      <c r="G82" s="16"/>
      <c r="H82" s="16"/>
      <c r="I82" s="21" t="str">
        <f t="shared" si="4"/>
        <v/>
      </c>
      <c r="J82" s="16">
        <f t="shared" si="5"/>
        <v>0</v>
      </c>
      <c r="K82" s="9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 x14ac:dyDescent="0.3">
      <c r="A83" s="16"/>
      <c r="B83" s="9" t="str">
        <f>IFERROR(INDEX('Employee Master'!$B$10:$B$109,MATCH(A83,'Employee Master'!$A$10:$A$109,0)),"")</f>
        <v/>
      </c>
      <c r="C83" s="16"/>
      <c r="D83" s="16"/>
      <c r="E83" s="16"/>
      <c r="F83" s="16"/>
      <c r="G83" s="16"/>
      <c r="H83" s="16"/>
      <c r="I83" s="21" t="str">
        <f t="shared" si="4"/>
        <v/>
      </c>
      <c r="J83" s="16">
        <f t="shared" si="5"/>
        <v>0</v>
      </c>
      <c r="K83" s="9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 x14ac:dyDescent="0.3">
      <c r="A84" s="16"/>
      <c r="B84" s="9" t="str">
        <f>IFERROR(INDEX('Employee Master'!$B$10:$B$109,MATCH(A84,'Employee Master'!$A$10:$A$109,0)),"")</f>
        <v/>
      </c>
      <c r="C84" s="16"/>
      <c r="D84" s="16"/>
      <c r="E84" s="16"/>
      <c r="F84" s="16"/>
      <c r="G84" s="16"/>
      <c r="H84" s="16"/>
      <c r="I84" s="21" t="str">
        <f t="shared" si="4"/>
        <v/>
      </c>
      <c r="J84" s="16">
        <f t="shared" si="5"/>
        <v>0</v>
      </c>
      <c r="K84" s="9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 x14ac:dyDescent="0.3">
      <c r="A85" s="16"/>
      <c r="B85" s="9" t="str">
        <f>IFERROR(INDEX('Employee Master'!$B$10:$B$109,MATCH(A85,'Employee Master'!$A$10:$A$109,0)),"")</f>
        <v/>
      </c>
      <c r="C85" s="16"/>
      <c r="D85" s="16"/>
      <c r="E85" s="16"/>
      <c r="F85" s="16"/>
      <c r="G85" s="16"/>
      <c r="H85" s="16"/>
      <c r="I85" s="21" t="str">
        <f t="shared" si="4"/>
        <v/>
      </c>
      <c r="J85" s="16">
        <f t="shared" si="5"/>
        <v>0</v>
      </c>
      <c r="K85" s="9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 x14ac:dyDescent="0.3">
      <c r="A86" s="16"/>
      <c r="B86" s="9" t="str">
        <f>IFERROR(INDEX('Employee Master'!$B$10:$B$109,MATCH(A86,'Employee Master'!$A$10:$A$109,0)),"")</f>
        <v/>
      </c>
      <c r="C86" s="16"/>
      <c r="D86" s="16"/>
      <c r="E86" s="16"/>
      <c r="F86" s="16"/>
      <c r="G86" s="16"/>
      <c r="H86" s="16"/>
      <c r="I86" s="21" t="str">
        <f t="shared" si="4"/>
        <v/>
      </c>
      <c r="J86" s="16">
        <f t="shared" si="5"/>
        <v>0</v>
      </c>
      <c r="K86" s="9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 x14ac:dyDescent="0.3">
      <c r="A87" s="16"/>
      <c r="B87" s="9" t="str">
        <f>IFERROR(INDEX('Employee Master'!$B$10:$B$109,MATCH(A87,'Employee Master'!$A$10:$A$109,0)),"")</f>
        <v/>
      </c>
      <c r="C87" s="16"/>
      <c r="D87" s="16"/>
      <c r="E87" s="16"/>
      <c r="F87" s="16"/>
      <c r="G87" s="16"/>
      <c r="H87" s="16"/>
      <c r="I87" s="21" t="str">
        <f t="shared" si="4"/>
        <v/>
      </c>
      <c r="J87" s="16">
        <f t="shared" si="5"/>
        <v>0</v>
      </c>
      <c r="K87" s="9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 x14ac:dyDescent="0.3">
      <c r="A88" s="16"/>
      <c r="B88" s="9" t="str">
        <f>IFERROR(INDEX('Employee Master'!$B$10:$B$109,MATCH(A88,'Employee Master'!$A$10:$A$109,0)),"")</f>
        <v/>
      </c>
      <c r="C88" s="16"/>
      <c r="D88" s="16"/>
      <c r="E88" s="16"/>
      <c r="F88" s="16"/>
      <c r="G88" s="16"/>
      <c r="H88" s="16"/>
      <c r="I88" s="21" t="str">
        <f t="shared" si="4"/>
        <v/>
      </c>
      <c r="J88" s="16">
        <f t="shared" si="5"/>
        <v>0</v>
      </c>
      <c r="K88" s="9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 x14ac:dyDescent="0.3">
      <c r="A89" s="16"/>
      <c r="B89" s="9" t="str">
        <f>IFERROR(INDEX('Employee Master'!$B$10:$B$109,MATCH(A89,'Employee Master'!$A$10:$A$109,0)),"")</f>
        <v/>
      </c>
      <c r="C89" s="16"/>
      <c r="D89" s="16"/>
      <c r="E89" s="16"/>
      <c r="F89" s="16"/>
      <c r="G89" s="16"/>
      <c r="H89" s="16"/>
      <c r="I89" s="21" t="str">
        <f t="shared" si="4"/>
        <v/>
      </c>
      <c r="J89" s="16">
        <f t="shared" si="5"/>
        <v>0</v>
      </c>
      <c r="K89" s="9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 x14ac:dyDescent="0.3">
      <c r="A90" s="16"/>
      <c r="B90" s="9" t="str">
        <f>IFERROR(INDEX('Employee Master'!$B$10:$B$109,MATCH(A90,'Employee Master'!$A$10:$A$109,0)),"")</f>
        <v/>
      </c>
      <c r="C90" s="16"/>
      <c r="D90" s="16"/>
      <c r="E90" s="16"/>
      <c r="F90" s="16"/>
      <c r="G90" s="16"/>
      <c r="H90" s="16"/>
      <c r="I90" s="21" t="str">
        <f t="shared" si="4"/>
        <v/>
      </c>
      <c r="J90" s="16">
        <f t="shared" si="5"/>
        <v>0</v>
      </c>
      <c r="K90" s="9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 x14ac:dyDescent="0.3">
      <c r="A91" s="16"/>
      <c r="B91" s="9" t="str">
        <f>IFERROR(INDEX('Employee Master'!$B$10:$B$109,MATCH(A91,'Employee Master'!$A$10:$A$109,0)),"")</f>
        <v/>
      </c>
      <c r="C91" s="16"/>
      <c r="D91" s="16"/>
      <c r="E91" s="16"/>
      <c r="F91" s="16"/>
      <c r="G91" s="16"/>
      <c r="H91" s="16"/>
      <c r="I91" s="21" t="str">
        <f t="shared" si="4"/>
        <v/>
      </c>
      <c r="J91" s="16">
        <f t="shared" si="5"/>
        <v>0</v>
      </c>
      <c r="K91" s="9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 x14ac:dyDescent="0.3">
      <c r="A92" s="16"/>
      <c r="B92" s="9" t="str">
        <f>IFERROR(INDEX('Employee Master'!$B$10:$B$109,MATCH(A92,'Employee Master'!$A$10:$A$109,0)),"")</f>
        <v/>
      </c>
      <c r="C92" s="16"/>
      <c r="D92" s="16"/>
      <c r="E92" s="16"/>
      <c r="F92" s="16"/>
      <c r="G92" s="16"/>
      <c r="H92" s="16"/>
      <c r="I92" s="21" t="str">
        <f t="shared" si="4"/>
        <v/>
      </c>
      <c r="J92" s="16">
        <f t="shared" si="5"/>
        <v>0</v>
      </c>
      <c r="K92" s="9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 x14ac:dyDescent="0.3">
      <c r="A93" s="16"/>
      <c r="B93" s="9" t="str">
        <f>IFERROR(INDEX('Employee Master'!$B$10:$B$109,MATCH(A93,'Employee Master'!$A$10:$A$109,0)),"")</f>
        <v/>
      </c>
      <c r="C93" s="16"/>
      <c r="D93" s="16"/>
      <c r="E93" s="16"/>
      <c r="F93" s="16"/>
      <c r="G93" s="16"/>
      <c r="H93" s="16"/>
      <c r="I93" s="21" t="str">
        <f t="shared" si="4"/>
        <v/>
      </c>
      <c r="J93" s="16">
        <f t="shared" si="5"/>
        <v>0</v>
      </c>
      <c r="K93" s="9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 x14ac:dyDescent="0.3">
      <c r="A94" s="16"/>
      <c r="B94" s="9" t="str">
        <f>IFERROR(INDEX('Employee Master'!$B$10:$B$109,MATCH(A94,'Employee Master'!$A$10:$A$109,0)),"")</f>
        <v/>
      </c>
      <c r="C94" s="16"/>
      <c r="D94" s="16"/>
      <c r="E94" s="16"/>
      <c r="F94" s="16"/>
      <c r="G94" s="16"/>
      <c r="H94" s="16"/>
      <c r="I94" s="21" t="str">
        <f t="shared" si="4"/>
        <v/>
      </c>
      <c r="J94" s="16">
        <f t="shared" si="5"/>
        <v>0</v>
      </c>
      <c r="K94" s="9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 x14ac:dyDescent="0.3">
      <c r="A95" s="16"/>
      <c r="B95" s="9" t="str">
        <f>IFERROR(INDEX('Employee Master'!$B$10:$B$109,MATCH(A95,'Employee Master'!$A$10:$A$109,0)),"")</f>
        <v/>
      </c>
      <c r="C95" s="16"/>
      <c r="D95" s="16"/>
      <c r="E95" s="16"/>
      <c r="F95" s="16"/>
      <c r="G95" s="16"/>
      <c r="H95" s="16"/>
      <c r="I95" s="21" t="str">
        <f t="shared" si="4"/>
        <v/>
      </c>
      <c r="J95" s="16">
        <f t="shared" si="5"/>
        <v>0</v>
      </c>
      <c r="K95" s="9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 x14ac:dyDescent="0.3">
      <c r="A96" s="16"/>
      <c r="B96" s="9" t="str">
        <f>IFERROR(INDEX('Employee Master'!$B$10:$B$109,MATCH(A96,'Employee Master'!$A$10:$A$109,0)),"")</f>
        <v/>
      </c>
      <c r="C96" s="16"/>
      <c r="D96" s="16"/>
      <c r="E96" s="16"/>
      <c r="F96" s="16"/>
      <c r="G96" s="16"/>
      <c r="H96" s="16"/>
      <c r="I96" s="21" t="str">
        <f t="shared" si="4"/>
        <v/>
      </c>
      <c r="J96" s="16">
        <f t="shared" si="5"/>
        <v>0</v>
      </c>
      <c r="K96" s="9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 x14ac:dyDescent="0.3">
      <c r="A97" s="16"/>
      <c r="B97" s="9" t="str">
        <f>IFERROR(INDEX('Employee Master'!$B$10:$B$109,MATCH(A97,'Employee Master'!$A$10:$A$109,0)),"")</f>
        <v/>
      </c>
      <c r="C97" s="16"/>
      <c r="D97" s="16"/>
      <c r="E97" s="16"/>
      <c r="F97" s="16"/>
      <c r="G97" s="16"/>
      <c r="H97" s="16"/>
      <c r="I97" s="21" t="str">
        <f t="shared" si="4"/>
        <v/>
      </c>
      <c r="J97" s="16">
        <f t="shared" si="5"/>
        <v>0</v>
      </c>
      <c r="K97" s="9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 x14ac:dyDescent="0.3">
      <c r="A98" s="16"/>
      <c r="B98" s="9" t="str">
        <f>IFERROR(INDEX('Employee Master'!$B$10:$B$109,MATCH(A98,'Employee Master'!$A$10:$A$109,0)),"")</f>
        <v/>
      </c>
      <c r="C98" s="16"/>
      <c r="D98" s="16"/>
      <c r="E98" s="16"/>
      <c r="F98" s="16"/>
      <c r="G98" s="16"/>
      <c r="H98" s="16"/>
      <c r="I98" s="21" t="str">
        <f t="shared" si="4"/>
        <v/>
      </c>
      <c r="J98" s="16">
        <f t="shared" si="5"/>
        <v>0</v>
      </c>
      <c r="K98" s="9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 x14ac:dyDescent="0.3">
      <c r="A99" s="16"/>
      <c r="B99" s="9" t="str">
        <f>IFERROR(INDEX('Employee Master'!$B$10:$B$109,MATCH(A99,'Employee Master'!$A$10:$A$109,0)),"")</f>
        <v/>
      </c>
      <c r="C99" s="16"/>
      <c r="D99" s="16"/>
      <c r="E99" s="16"/>
      <c r="F99" s="16"/>
      <c r="G99" s="16"/>
      <c r="H99" s="16"/>
      <c r="I99" s="21" t="str">
        <f t="shared" si="4"/>
        <v/>
      </c>
      <c r="J99" s="16">
        <f t="shared" si="5"/>
        <v>0</v>
      </c>
      <c r="K99" s="9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 x14ac:dyDescent="0.3">
      <c r="A100" s="16"/>
      <c r="B100" s="9" t="str">
        <f>IFERROR(INDEX('Employee Master'!$B$10:$B$109,MATCH(A100,'Employee Master'!$A$10:$A$109,0)),"")</f>
        <v/>
      </c>
      <c r="C100" s="16"/>
      <c r="D100" s="16"/>
      <c r="E100" s="16"/>
      <c r="F100" s="16"/>
      <c r="G100" s="16"/>
      <c r="H100" s="16"/>
      <c r="I100" s="21" t="str">
        <f t="shared" si="4"/>
        <v/>
      </c>
      <c r="J100" s="16">
        <f t="shared" si="5"/>
        <v>0</v>
      </c>
      <c r="K100" s="9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 x14ac:dyDescent="0.3">
      <c r="A101" s="16"/>
      <c r="B101" s="9" t="str">
        <f>IFERROR(INDEX('Employee Master'!$B$10:$B$109,MATCH(A101,'Employee Master'!$A$10:$A$109,0)),"")</f>
        <v/>
      </c>
      <c r="C101" s="16"/>
      <c r="D101" s="16"/>
      <c r="E101" s="16"/>
      <c r="F101" s="16"/>
      <c r="G101" s="16"/>
      <c r="H101" s="16"/>
      <c r="I101" s="21" t="str">
        <f t="shared" si="4"/>
        <v/>
      </c>
      <c r="J101" s="16">
        <f t="shared" si="5"/>
        <v>0</v>
      </c>
      <c r="K101" s="9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 x14ac:dyDescent="0.3">
      <c r="A102" s="16"/>
      <c r="B102" s="9" t="str">
        <f>IFERROR(INDEX('Employee Master'!$B$10:$B$109,MATCH(A102,'Employee Master'!$A$10:$A$109,0)),"")</f>
        <v/>
      </c>
      <c r="C102" s="16"/>
      <c r="D102" s="16"/>
      <c r="E102" s="16"/>
      <c r="F102" s="16"/>
      <c r="G102" s="16"/>
      <c r="H102" s="16"/>
      <c r="I102" s="21" t="str">
        <f t="shared" si="4"/>
        <v/>
      </c>
      <c r="J102" s="16">
        <f t="shared" si="5"/>
        <v>0</v>
      </c>
      <c r="K102" s="9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 x14ac:dyDescent="0.3">
      <c r="A103" s="16"/>
      <c r="B103" s="9" t="str">
        <f>IFERROR(INDEX('Employee Master'!$B$10:$B$109,MATCH(A103,'Employee Master'!$A$10:$A$109,0)),"")</f>
        <v/>
      </c>
      <c r="C103" s="16"/>
      <c r="D103" s="16"/>
      <c r="E103" s="16"/>
      <c r="F103" s="16"/>
      <c r="G103" s="16"/>
      <c r="H103" s="16"/>
      <c r="I103" s="21" t="str">
        <f t="shared" si="4"/>
        <v/>
      </c>
      <c r="J103" s="16">
        <f t="shared" si="5"/>
        <v>0</v>
      </c>
      <c r="K103" s="9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 x14ac:dyDescent="0.3">
      <c r="A104" s="16"/>
      <c r="B104" s="9" t="str">
        <f>IFERROR(INDEX('Employee Master'!$B$10:$B$109,MATCH(A104,'Employee Master'!$A$10:$A$109,0)),"")</f>
        <v/>
      </c>
      <c r="C104" s="16"/>
      <c r="D104" s="16"/>
      <c r="E104" s="16"/>
      <c r="F104" s="16"/>
      <c r="G104" s="16"/>
      <c r="H104" s="16"/>
      <c r="I104" s="21" t="str">
        <f t="shared" si="4"/>
        <v/>
      </c>
      <c r="J104" s="16">
        <f t="shared" si="5"/>
        <v>0</v>
      </c>
      <c r="K104" s="9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 x14ac:dyDescent="0.3">
      <c r="A105" s="16"/>
      <c r="B105" s="9" t="str">
        <f>IFERROR(INDEX('Employee Master'!$B$10:$B$109,MATCH(A105,'Employee Master'!$A$10:$A$109,0)),"")</f>
        <v/>
      </c>
      <c r="C105" s="16"/>
      <c r="D105" s="16"/>
      <c r="E105" s="16"/>
      <c r="F105" s="16"/>
      <c r="G105" s="16"/>
      <c r="H105" s="16"/>
      <c r="I105" s="21" t="str">
        <f t="shared" si="4"/>
        <v/>
      </c>
      <c r="J105" s="16">
        <f t="shared" si="5"/>
        <v>0</v>
      </c>
      <c r="K105" s="9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 x14ac:dyDescent="0.3">
      <c r="A106" s="16"/>
      <c r="B106" s="9" t="str">
        <f>IFERROR(INDEX('Employee Master'!$B$10:$B$109,MATCH(A106,'Employee Master'!$A$10:$A$109,0)),"")</f>
        <v/>
      </c>
      <c r="C106" s="16"/>
      <c r="D106" s="16"/>
      <c r="E106" s="16"/>
      <c r="F106" s="16"/>
      <c r="G106" s="16"/>
      <c r="H106" s="16"/>
      <c r="I106" s="21" t="str">
        <f t="shared" ref="I106:I109" si="6">IF(A106="","",COUNTIF(C106:H106,"Available")/6)</f>
        <v/>
      </c>
      <c r="J106" s="16">
        <f t="shared" si="5"/>
        <v>0</v>
      </c>
      <c r="K106" s="9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 x14ac:dyDescent="0.3">
      <c r="A107" s="16"/>
      <c r="B107" s="9" t="str">
        <f>IFERROR(INDEX('Employee Master'!$B$10:$B$109,MATCH(A107,'Employee Master'!$A$10:$A$109,0)),"")</f>
        <v/>
      </c>
      <c r="C107" s="16"/>
      <c r="D107" s="16"/>
      <c r="E107" s="16"/>
      <c r="F107" s="16"/>
      <c r="G107" s="16"/>
      <c r="H107" s="16"/>
      <c r="I107" s="21" t="str">
        <f t="shared" si="6"/>
        <v/>
      </c>
      <c r="J107" s="16">
        <f t="shared" si="5"/>
        <v>0</v>
      </c>
      <c r="K107" s="9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 x14ac:dyDescent="0.3">
      <c r="A108" s="16"/>
      <c r="B108" s="9" t="str">
        <f>IFERROR(INDEX('Employee Master'!$B$10:$B$109,MATCH(A108,'Employee Master'!$A$10:$A$109,0)),"")</f>
        <v/>
      </c>
      <c r="C108" s="16"/>
      <c r="D108" s="16"/>
      <c r="E108" s="16"/>
      <c r="F108" s="16"/>
      <c r="G108" s="16"/>
      <c r="H108" s="16"/>
      <c r="I108" s="21" t="str">
        <f t="shared" si="6"/>
        <v/>
      </c>
      <c r="J108" s="16">
        <f t="shared" si="5"/>
        <v>0</v>
      </c>
      <c r="K108" s="9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 x14ac:dyDescent="0.3">
      <c r="A109" s="16"/>
      <c r="B109" s="9" t="str">
        <f>IFERROR(INDEX('Employee Master'!$B$10:$B$109,MATCH(A109,'Employee Master'!$A$10:$A$109,0)),"")</f>
        <v/>
      </c>
      <c r="C109" s="16"/>
      <c r="D109" s="16"/>
      <c r="E109" s="16"/>
      <c r="F109" s="16"/>
      <c r="G109" s="16"/>
      <c r="H109" s="16"/>
      <c r="I109" s="21" t="str">
        <f t="shared" si="6"/>
        <v/>
      </c>
      <c r="J109" s="16">
        <f t="shared" si="5"/>
        <v>0</v>
      </c>
      <c r="K109" s="9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</sheetData>
  <mergeCells count="11">
    <mergeCell ref="B6:C6"/>
    <mergeCell ref="B7:C7"/>
    <mergeCell ref="E6:F6"/>
    <mergeCell ref="E7:F7"/>
    <mergeCell ref="H6:I6"/>
    <mergeCell ref="H7:I7"/>
    <mergeCell ref="B5:C5"/>
    <mergeCell ref="E5:F5"/>
    <mergeCell ref="H5:I5"/>
    <mergeCell ref="A1:K1"/>
    <mergeCell ref="A2:K2"/>
  </mergeCells>
  <conditionalFormatting sqref="A10:K109">
    <cfRule type="expression" dxfId="16" priority="2">
      <formula>MOD(ROW(),2)=0</formula>
    </cfRule>
  </conditionalFormatting>
  <conditionalFormatting sqref="C10:H109">
    <cfRule type="cellIs" dxfId="15" priority="3" operator="equal">
      <formula>"Available"</formula>
    </cfRule>
    <cfRule type="cellIs" dxfId="14" priority="4" operator="equal">
      <formula>"Pending"</formula>
    </cfRule>
    <cfRule type="cellIs" dxfId="13" priority="5" operator="equal">
      <formula>"Missing"</formula>
    </cfRule>
    <cfRule type="cellIs" dxfId="12" priority="6" operator="equal">
      <formula>"Expired"</formula>
    </cfRule>
  </conditionalFormatting>
  <conditionalFormatting sqref="I10:I109">
    <cfRule type="cellIs" dxfId="11" priority="27" operator="equal">
      <formula>1</formula>
    </cfRule>
    <cfRule type="expression" dxfId="10" priority="28">
      <formula>AND(I10&lt;1,I10&gt;=0.5)</formula>
    </cfRule>
    <cfRule type="expression" dxfId="9" priority="29">
      <formula>AND(I10&lt;0.5,I10&gt;0)</formula>
    </cfRule>
  </conditionalFormatting>
  <hyperlinks>
    <hyperlink ref="A3" location="'HR Command Center'!A1" display=" HOME " xr:uid="{00000000-0004-0000-0600-000000000000}"/>
    <hyperlink ref="B3" location="'Employee Master'!A1" display=" PEOPLE " xr:uid="{00000000-0004-0000-0600-000001000000}"/>
    <hyperlink ref="C3" location="'Attendance'!A1" display=" ATTEND. " xr:uid="{00000000-0004-0000-0600-000002000000}"/>
    <hyperlink ref="D3" location="'Leave Tracker'!A1" display=" LEAVE " xr:uid="{00000000-0004-0000-0600-000003000000}"/>
    <hyperlink ref="E3" location="'Payroll'!A1" display=" PAYROLL " xr:uid="{00000000-0004-0000-0600-000004000000}"/>
    <hyperlink ref="F3" location="'Document Tracker'!A1" display=" DOCS " xr:uid="{00000000-0004-0000-0600-000005000000}"/>
    <hyperlink ref="G3" location="'Compliance Center'!A1" display=" COMPLY " xr:uid="{00000000-0004-0000-0600-000006000000}"/>
    <hyperlink ref="H3" location="'Analytics &amp; Reports'!A1" display=" ANALYTICS " xr:uid="{00000000-0004-0000-0600-000007000000}"/>
    <hyperlink ref="I3" location="'Management Dashboard'!A1" display=" MGMT " xr:uid="{00000000-0004-0000-0600-000008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Lists!$G$10:$G$13</xm:f>
          </x14:formula1>
          <x14:formula2>
            <xm:f>0</xm:f>
          </x14:formula2>
          <xm:sqref>C10:H109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9"/>
  <sheetViews>
    <sheetView showGridLines="0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0" sqref="A10:A54"/>
    </sheetView>
  </sheetViews>
  <sheetFormatPr defaultColWidth="8.6640625" defaultRowHeight="14.4" x14ac:dyDescent="0.3"/>
  <cols>
    <col min="1" max="1" width="11" customWidth="1"/>
    <col min="2" max="2" width="20" customWidth="1"/>
    <col min="3" max="3" width="26" customWidth="1"/>
    <col min="4" max="4" width="13" customWidth="1"/>
    <col min="5" max="6" width="15" customWidth="1"/>
    <col min="7" max="7" width="18" customWidth="1"/>
  </cols>
  <sheetData>
    <row r="1" spans="1:9" ht="33.75" customHeight="1" x14ac:dyDescent="0.3">
      <c r="A1" s="26" t="s">
        <v>241</v>
      </c>
      <c r="B1" s="26"/>
      <c r="C1" s="26"/>
      <c r="D1" s="26"/>
      <c r="E1" s="26"/>
      <c r="F1" s="26"/>
      <c r="G1" s="26"/>
      <c r="H1" s="26"/>
      <c r="I1" s="26"/>
    </row>
    <row r="2" spans="1:9" ht="15.75" customHeight="1" x14ac:dyDescent="0.3">
      <c r="A2" s="27" t="s">
        <v>242</v>
      </c>
      <c r="B2" s="27"/>
      <c r="C2" s="27"/>
      <c r="D2" s="27"/>
      <c r="E2" s="27"/>
      <c r="F2" s="27"/>
      <c r="G2" s="27"/>
      <c r="H2" s="27"/>
      <c r="I2" s="27"/>
    </row>
    <row r="3" spans="1:9" ht="19.5" customHeight="1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 x14ac:dyDescent="0.3">
      <c r="A4" s="4"/>
      <c r="B4" s="4"/>
      <c r="C4" s="4"/>
      <c r="D4" s="4"/>
      <c r="E4" s="4"/>
      <c r="F4" s="4"/>
      <c r="G4" s="4"/>
      <c r="H4" s="4"/>
      <c r="I4" s="4"/>
    </row>
    <row r="5" spans="1:9" ht="13.5" customHeight="1" x14ac:dyDescent="0.3">
      <c r="A5" s="4"/>
      <c r="B5" s="30" t="s">
        <v>243</v>
      </c>
      <c r="C5" s="30"/>
      <c r="D5" s="45" t="s">
        <v>244</v>
      </c>
      <c r="E5" s="45"/>
      <c r="F5" s="90" t="s">
        <v>245</v>
      </c>
      <c r="G5" s="90"/>
      <c r="H5" s="29" t="s">
        <v>246</v>
      </c>
      <c r="I5" s="29"/>
    </row>
    <row r="6" spans="1:9" ht="25.5" customHeight="1" x14ac:dyDescent="0.3">
      <c r="A6" s="4"/>
      <c r="B6" s="32">
        <f ca="1">COUNTIF($F$10:$F$109,"Expired")</f>
        <v>6</v>
      </c>
      <c r="C6" s="32"/>
      <c r="D6" s="32">
        <f ca="1">COUNTIF($F$10:$F$109,"Due in 7 Days")</f>
        <v>0</v>
      </c>
      <c r="E6" s="32"/>
      <c r="F6" s="32">
        <f ca="1">COUNTIF($F$10:$F$109,"Due in 30 Days")</f>
        <v>5</v>
      </c>
      <c r="G6" s="32"/>
      <c r="H6" s="32">
        <f ca="1">COUNTIF($F$10:$F$109,"Valid")</f>
        <v>7</v>
      </c>
      <c r="I6" s="32"/>
    </row>
    <row r="7" spans="1:9" ht="13.5" customHeight="1" x14ac:dyDescent="0.3">
      <c r="A7" s="4"/>
      <c r="B7" s="35"/>
      <c r="C7" s="35"/>
      <c r="D7" s="46"/>
      <c r="E7" s="46"/>
      <c r="F7" s="91"/>
      <c r="G7" s="91"/>
      <c r="H7" s="34"/>
      <c r="I7" s="34"/>
    </row>
    <row r="8" spans="1:9" x14ac:dyDescent="0.3">
      <c r="A8" s="4"/>
      <c r="B8" s="4"/>
      <c r="C8" s="4"/>
      <c r="D8" s="4"/>
      <c r="E8" s="4"/>
      <c r="F8" s="4"/>
      <c r="G8" s="4"/>
      <c r="H8" s="4"/>
      <c r="I8" s="4"/>
    </row>
    <row r="9" spans="1:9" ht="30" customHeight="1" x14ac:dyDescent="0.3">
      <c r="A9" s="15" t="s">
        <v>122</v>
      </c>
      <c r="B9" s="15" t="s">
        <v>123</v>
      </c>
      <c r="C9" s="15" t="s">
        <v>247</v>
      </c>
      <c r="D9" s="15" t="s">
        <v>248</v>
      </c>
      <c r="E9" s="15" t="s">
        <v>249</v>
      </c>
      <c r="F9" s="15" t="s">
        <v>59</v>
      </c>
      <c r="G9" s="15" t="s">
        <v>186</v>
      </c>
      <c r="H9" s="4"/>
      <c r="I9" s="4"/>
    </row>
    <row r="10" spans="1:9" x14ac:dyDescent="0.3">
      <c r="A10" s="16" t="s">
        <v>287</v>
      </c>
      <c r="B10" s="9" t="str">
        <f>IFERROR(INDEX('Employee Master'!$B$10:$B$109,MATCH(A10,'Employee Master'!$A$10:$A$109,0)),"")</f>
        <v>Murugesan P</v>
      </c>
      <c r="C10" s="9" t="s">
        <v>250</v>
      </c>
      <c r="D10" s="18">
        <v>46275</v>
      </c>
      <c r="E10" s="16">
        <f t="shared" ref="E10:E41" ca="1" si="0">IF(D10="","",D10-TODAY())</f>
        <v>10</v>
      </c>
      <c r="F10" s="16" t="str">
        <f t="shared" ref="F10:F41" ca="1" si="1">IF(AND(A10="",C10=""),"",IF(D10="","Missing",IF(E10&lt;0,"Expired",IF(E10&lt;=7,"Due in 7 Days",IF(E10&lt;=30,"Due in 30 Days","Valid")))))</f>
        <v>Due in 30 Days</v>
      </c>
      <c r="G10" s="9"/>
      <c r="H10" s="4"/>
      <c r="I10" s="4"/>
    </row>
    <row r="11" spans="1:9" x14ac:dyDescent="0.3">
      <c r="A11" s="16" t="s">
        <v>288</v>
      </c>
      <c r="B11" s="9" t="str">
        <f>IFERROR(INDEX('Employee Master'!$B$10:$B$109,MATCH(A11,'Employee Master'!$A$10:$A$109,0)),"")</f>
        <v>Vijay K</v>
      </c>
      <c r="C11" s="9" t="s">
        <v>251</v>
      </c>
      <c r="D11" s="18">
        <v>46223</v>
      </c>
      <c r="E11" s="16">
        <f t="shared" ca="1" si="0"/>
        <v>-42</v>
      </c>
      <c r="F11" s="16" t="str">
        <f t="shared" ca="1" si="1"/>
        <v>Expired</v>
      </c>
      <c r="G11" s="9"/>
      <c r="H11" s="4"/>
      <c r="I11" s="4"/>
    </row>
    <row r="12" spans="1:9" x14ac:dyDescent="0.3">
      <c r="A12" s="16" t="s">
        <v>289</v>
      </c>
      <c r="B12" s="9" t="str">
        <f>IFERROR(INDEX('Employee Master'!$B$10:$B$109,MATCH(A12,'Employee Master'!$A$10:$A$109,0)),"")</f>
        <v>Murugesan P</v>
      </c>
      <c r="C12" s="9" t="s">
        <v>250</v>
      </c>
      <c r="D12" s="18">
        <v>46273</v>
      </c>
      <c r="E12" s="16">
        <f t="shared" ca="1" si="0"/>
        <v>8</v>
      </c>
      <c r="F12" s="16" t="str">
        <f t="shared" ca="1" si="1"/>
        <v>Due in 30 Days</v>
      </c>
      <c r="G12" s="9"/>
      <c r="H12" s="4"/>
      <c r="I12" s="4"/>
    </row>
    <row r="13" spans="1:9" x14ac:dyDescent="0.3">
      <c r="A13" s="16" t="s">
        <v>290</v>
      </c>
      <c r="B13" s="9" t="str">
        <f>IFERROR(INDEX('Employee Master'!$B$10:$B$109,MATCH(A13,'Employee Master'!$A$10:$A$109,0)),"")</f>
        <v>Murugesan S</v>
      </c>
      <c r="C13" s="9" t="s">
        <v>250</v>
      </c>
      <c r="D13" s="18">
        <v>46278</v>
      </c>
      <c r="E13" s="16">
        <f t="shared" ca="1" si="0"/>
        <v>13</v>
      </c>
      <c r="F13" s="16" t="str">
        <f t="shared" ca="1" si="1"/>
        <v>Due in 30 Days</v>
      </c>
      <c r="G13" s="9"/>
      <c r="H13" s="4"/>
      <c r="I13" s="4"/>
    </row>
    <row r="14" spans="1:9" x14ac:dyDescent="0.3">
      <c r="A14" s="16" t="s">
        <v>291</v>
      </c>
      <c r="B14" s="9" t="str">
        <f>IFERROR(INDEX('Employee Master'!$B$10:$B$109,MATCH(A14,'Employee Master'!$A$10:$A$109,0)),"")</f>
        <v>Murugesan</v>
      </c>
      <c r="C14" s="9" t="s">
        <v>252</v>
      </c>
      <c r="D14" s="18">
        <v>46349</v>
      </c>
      <c r="E14" s="16">
        <f t="shared" ca="1" si="0"/>
        <v>84</v>
      </c>
      <c r="F14" s="16" t="str">
        <f t="shared" ca="1" si="1"/>
        <v>Valid</v>
      </c>
      <c r="G14" s="9"/>
      <c r="H14" s="4"/>
      <c r="I14" s="4"/>
    </row>
    <row r="15" spans="1:9" x14ac:dyDescent="0.3">
      <c r="A15" s="16" t="s">
        <v>292</v>
      </c>
      <c r="B15" s="9" t="str">
        <f>IFERROR(INDEX('Employee Master'!$B$10:$B$109,MATCH(A15,'Employee Master'!$A$10:$A$109,0)),"")</f>
        <v>Elango K</v>
      </c>
      <c r="C15" s="9" t="s">
        <v>251</v>
      </c>
      <c r="D15" s="18">
        <v>46320</v>
      </c>
      <c r="E15" s="16">
        <f t="shared" ca="1" si="0"/>
        <v>55</v>
      </c>
      <c r="F15" s="16" t="str">
        <f t="shared" ca="1" si="1"/>
        <v>Valid</v>
      </c>
      <c r="G15" s="9"/>
      <c r="H15" s="4"/>
      <c r="I15" s="4"/>
    </row>
    <row r="16" spans="1:9" x14ac:dyDescent="0.3">
      <c r="A16" s="16" t="s">
        <v>293</v>
      </c>
      <c r="B16" s="9" t="str">
        <f>IFERROR(INDEX('Employee Master'!$B$10:$B$109,MATCH(A16,'Employee Master'!$A$10:$A$109,0)),"")</f>
        <v>Murugan</v>
      </c>
      <c r="C16" s="9" t="s">
        <v>253</v>
      </c>
      <c r="D16" s="18">
        <v>46633</v>
      </c>
      <c r="E16" s="16">
        <f t="shared" ca="1" si="0"/>
        <v>368</v>
      </c>
      <c r="F16" s="16" t="str">
        <f t="shared" ca="1" si="1"/>
        <v>Valid</v>
      </c>
      <c r="G16" s="9"/>
      <c r="H16" s="4"/>
      <c r="I16" s="4"/>
    </row>
    <row r="17" spans="1:9" x14ac:dyDescent="0.3">
      <c r="A17" s="16" t="s">
        <v>294</v>
      </c>
      <c r="B17" s="9" t="str">
        <f>IFERROR(INDEX('Employee Master'!$B$10:$B$109,MATCH(A17,'Employee Master'!$A$10:$A$109,0)),"")</f>
        <v>Bala Murugan</v>
      </c>
      <c r="C17" s="9" t="s">
        <v>251</v>
      </c>
      <c r="D17" s="18">
        <v>46277</v>
      </c>
      <c r="E17" s="16">
        <f t="shared" ca="1" si="0"/>
        <v>12</v>
      </c>
      <c r="F17" s="16" t="str">
        <f t="shared" ca="1" si="1"/>
        <v>Due in 30 Days</v>
      </c>
      <c r="G17" s="9"/>
      <c r="H17" s="4"/>
      <c r="I17" s="4"/>
    </row>
    <row r="18" spans="1:9" x14ac:dyDescent="0.3">
      <c r="A18" s="16" t="s">
        <v>295</v>
      </c>
      <c r="B18" s="9" t="str">
        <f>IFERROR(INDEX('Employee Master'!$B$10:$B$109,MATCH(A18,'Employee Master'!$A$10:$A$109,0)),"")</f>
        <v>Murugesan V</v>
      </c>
      <c r="C18" s="9" t="s">
        <v>254</v>
      </c>
      <c r="D18" s="18">
        <v>46262</v>
      </c>
      <c r="E18" s="16">
        <f t="shared" ca="1" si="0"/>
        <v>-3</v>
      </c>
      <c r="F18" s="16" t="str">
        <f t="shared" ca="1" si="1"/>
        <v>Expired</v>
      </c>
      <c r="G18" s="9"/>
      <c r="H18" s="4"/>
      <c r="I18" s="4"/>
    </row>
    <row r="19" spans="1:9" x14ac:dyDescent="0.3">
      <c r="A19" s="16" t="s">
        <v>296</v>
      </c>
      <c r="B19" s="9" t="str">
        <f>IFERROR(INDEX('Employee Master'!$B$10:$B$109,MATCH(A19,'Employee Master'!$A$10:$A$109,0)),"")</f>
        <v>Elango P</v>
      </c>
      <c r="C19" s="9" t="s">
        <v>250</v>
      </c>
      <c r="D19" s="18">
        <v>46276</v>
      </c>
      <c r="E19" s="16">
        <f t="shared" ca="1" si="0"/>
        <v>11</v>
      </c>
      <c r="F19" s="16" t="str">
        <f t="shared" ca="1" si="1"/>
        <v>Due in 30 Days</v>
      </c>
      <c r="G19" s="9"/>
      <c r="H19" s="4"/>
      <c r="I19" s="4"/>
    </row>
    <row r="20" spans="1:9" x14ac:dyDescent="0.3">
      <c r="A20" s="16" t="s">
        <v>297</v>
      </c>
      <c r="B20" s="9" t="str">
        <f>IFERROR(INDEX('Employee Master'!$B$10:$B$109,MATCH(A20,'Employee Master'!$A$10:$A$109,0)),"")</f>
        <v>Senthil Kumar K</v>
      </c>
      <c r="C20" s="9" t="s">
        <v>251</v>
      </c>
      <c r="D20" s="18">
        <v>46340</v>
      </c>
      <c r="E20" s="16">
        <f t="shared" ca="1" si="0"/>
        <v>75</v>
      </c>
      <c r="F20" s="16" t="str">
        <f t="shared" ca="1" si="1"/>
        <v>Valid</v>
      </c>
      <c r="G20" s="9"/>
      <c r="H20" s="4"/>
      <c r="I20" s="4"/>
    </row>
    <row r="21" spans="1:9" x14ac:dyDescent="0.3">
      <c r="A21" s="16" t="s">
        <v>298</v>
      </c>
      <c r="B21" s="9" t="str">
        <f>IFERROR(INDEX('Employee Master'!$B$10:$B$109,MATCH(A21,'Employee Master'!$A$10:$A$109,0)),"")</f>
        <v>Saravanan P</v>
      </c>
      <c r="C21" s="9" t="s">
        <v>252</v>
      </c>
      <c r="D21" s="18">
        <v>46262</v>
      </c>
      <c r="E21" s="16">
        <f t="shared" ca="1" si="0"/>
        <v>-3</v>
      </c>
      <c r="F21" s="16" t="str">
        <f t="shared" ca="1" si="1"/>
        <v>Expired</v>
      </c>
      <c r="G21" s="9"/>
      <c r="H21" s="4"/>
      <c r="I21" s="4"/>
    </row>
    <row r="22" spans="1:9" x14ac:dyDescent="0.3">
      <c r="A22" s="16" t="s">
        <v>299</v>
      </c>
      <c r="B22" s="9" t="str">
        <f>IFERROR(INDEX('Employee Master'!$B$10:$B$109,MATCH(A22,'Employee Master'!$A$10:$A$109,0)),"")</f>
        <v>Karthik V</v>
      </c>
      <c r="C22" s="9" t="s">
        <v>254</v>
      </c>
      <c r="D22" s="18">
        <v>46441</v>
      </c>
      <c r="E22" s="16">
        <f t="shared" ca="1" si="0"/>
        <v>176</v>
      </c>
      <c r="F22" s="16" t="str">
        <f t="shared" ca="1" si="1"/>
        <v>Valid</v>
      </c>
      <c r="G22" s="9"/>
      <c r="H22" s="4"/>
      <c r="I22" s="4"/>
    </row>
    <row r="23" spans="1:9" x14ac:dyDescent="0.3">
      <c r="A23" s="16" t="s">
        <v>300</v>
      </c>
      <c r="B23" s="9" t="str">
        <f>IFERROR(INDEX('Employee Master'!$B$10:$B$109,MATCH(A23,'Employee Master'!$A$10:$A$109,0)),"")</f>
        <v>Senthil Kumar</v>
      </c>
      <c r="C23" s="9" t="s">
        <v>251</v>
      </c>
      <c r="D23" s="18">
        <v>46299</v>
      </c>
      <c r="E23" s="16">
        <f t="shared" ca="1" si="0"/>
        <v>34</v>
      </c>
      <c r="F23" s="16" t="str">
        <f t="shared" ca="1" si="1"/>
        <v>Valid</v>
      </c>
      <c r="G23" s="9"/>
      <c r="H23" s="4"/>
      <c r="I23" s="4"/>
    </row>
    <row r="24" spans="1:9" x14ac:dyDescent="0.3">
      <c r="A24" s="16" t="s">
        <v>301</v>
      </c>
      <c r="B24" s="9" t="str">
        <f>IFERROR(INDEX('Employee Master'!$B$10:$B$109,MATCH(A24,'Employee Master'!$A$10:$A$109,0)),"")</f>
        <v>Gopinath P</v>
      </c>
      <c r="C24" s="9" t="s">
        <v>252</v>
      </c>
      <c r="D24" s="18">
        <v>46465</v>
      </c>
      <c r="E24" s="16">
        <f t="shared" ca="1" si="0"/>
        <v>200</v>
      </c>
      <c r="F24" s="16" t="str">
        <f t="shared" ca="1" si="1"/>
        <v>Valid</v>
      </c>
      <c r="G24" s="9"/>
      <c r="H24" s="4"/>
      <c r="I24" s="4"/>
    </row>
    <row r="25" spans="1:9" x14ac:dyDescent="0.3">
      <c r="A25" s="16" t="s">
        <v>302</v>
      </c>
      <c r="B25" s="9" t="str">
        <f>IFERROR(INDEX('Employee Master'!$B$10:$B$109,MATCH(A25,'Employee Master'!$A$10:$A$109,0)),"")</f>
        <v>Muthu Raj</v>
      </c>
      <c r="C25" s="9" t="s">
        <v>255</v>
      </c>
      <c r="D25" s="18">
        <v>46259</v>
      </c>
      <c r="E25" s="16">
        <f t="shared" ca="1" si="0"/>
        <v>-6</v>
      </c>
      <c r="F25" s="16" t="str">
        <f t="shared" ca="1" si="1"/>
        <v>Expired</v>
      </c>
      <c r="G25" s="9"/>
      <c r="H25" s="4"/>
      <c r="I25" s="4"/>
    </row>
    <row r="26" spans="1:9" x14ac:dyDescent="0.3">
      <c r="A26" s="16" t="s">
        <v>303</v>
      </c>
      <c r="B26" s="9" t="str">
        <f>IFERROR(INDEX('Employee Master'!$B$10:$B$109,MATCH(A26,'Employee Master'!$A$10:$A$109,0)),"")</f>
        <v>Senthil Kumar S</v>
      </c>
      <c r="C26" s="9" t="s">
        <v>255</v>
      </c>
      <c r="D26" s="18">
        <v>46263</v>
      </c>
      <c r="E26" s="16">
        <f t="shared" ca="1" si="0"/>
        <v>-2</v>
      </c>
      <c r="F26" s="16" t="str">
        <f t="shared" ca="1" si="1"/>
        <v>Expired</v>
      </c>
      <c r="G26" s="9"/>
      <c r="H26" s="4"/>
      <c r="I26" s="4"/>
    </row>
    <row r="27" spans="1:9" x14ac:dyDescent="0.3">
      <c r="A27" s="16" t="s">
        <v>304</v>
      </c>
      <c r="B27" s="9" t="str">
        <f>IFERROR(INDEX('Employee Master'!$B$10:$B$109,MATCH(A27,'Employee Master'!$A$10:$A$109,0)),"")</f>
        <v>Sowmya V</v>
      </c>
      <c r="C27" s="9" t="s">
        <v>252</v>
      </c>
      <c r="D27" s="18">
        <v>46233</v>
      </c>
      <c r="E27" s="16">
        <f t="shared" ca="1" si="0"/>
        <v>-32</v>
      </c>
      <c r="F27" s="16" t="str">
        <f t="shared" ca="1" si="1"/>
        <v>Expired</v>
      </c>
      <c r="G27" s="9"/>
      <c r="H27" s="4"/>
      <c r="I27" s="4"/>
    </row>
    <row r="28" spans="1:9" x14ac:dyDescent="0.3">
      <c r="A28" s="16" t="s">
        <v>305</v>
      </c>
      <c r="B28" s="9" t="str">
        <f>IFERROR(INDEX('Employee Master'!$B$10:$B$109,MATCH(A28,'Employee Master'!$A$10:$A$109,0)),"")</f>
        <v>Nandhini</v>
      </c>
      <c r="C28" s="9"/>
      <c r="D28" s="18"/>
      <c r="E28" s="16" t="str">
        <f t="shared" ca="1" si="0"/>
        <v/>
      </c>
      <c r="F28" s="16" t="str">
        <f t="shared" si="1"/>
        <v>Missing</v>
      </c>
      <c r="G28" s="9"/>
      <c r="H28" s="4"/>
      <c r="I28" s="4"/>
    </row>
    <row r="29" spans="1:9" x14ac:dyDescent="0.3">
      <c r="A29" s="16" t="s">
        <v>306</v>
      </c>
      <c r="B29" s="9" t="str">
        <f>IFERROR(INDEX('Employee Master'!$B$10:$B$109,MATCH(A29,'Employee Master'!$A$10:$A$109,0)),"")</f>
        <v>Divya</v>
      </c>
      <c r="C29" s="9"/>
      <c r="D29" s="18"/>
      <c r="E29" s="16" t="str">
        <f t="shared" ca="1" si="0"/>
        <v/>
      </c>
      <c r="F29" s="16" t="str">
        <f t="shared" si="1"/>
        <v>Missing</v>
      </c>
      <c r="G29" s="9"/>
      <c r="H29" s="4"/>
      <c r="I29" s="4"/>
    </row>
    <row r="30" spans="1:9" x14ac:dyDescent="0.3">
      <c r="A30" s="16" t="s">
        <v>307</v>
      </c>
      <c r="B30" s="9" t="str">
        <f>IFERROR(INDEX('Employee Master'!$B$10:$B$109,MATCH(A30,'Employee Master'!$A$10:$A$109,0)),"")</f>
        <v>Divya K</v>
      </c>
      <c r="C30" s="9"/>
      <c r="D30" s="18"/>
      <c r="E30" s="16" t="str">
        <f t="shared" ca="1" si="0"/>
        <v/>
      </c>
      <c r="F30" s="16" t="str">
        <f t="shared" si="1"/>
        <v>Missing</v>
      </c>
      <c r="G30" s="9"/>
      <c r="H30" s="4"/>
      <c r="I30" s="4"/>
    </row>
    <row r="31" spans="1:9" x14ac:dyDescent="0.3">
      <c r="A31" s="16" t="s">
        <v>308</v>
      </c>
      <c r="B31" s="9" t="str">
        <f>IFERROR(INDEX('Employee Master'!$B$10:$B$109,MATCH(A31,'Employee Master'!$A$10:$A$109,0)),"")</f>
        <v>Karthik S</v>
      </c>
      <c r="C31" s="9"/>
      <c r="D31" s="18"/>
      <c r="E31" s="16" t="str">
        <f t="shared" ca="1" si="0"/>
        <v/>
      </c>
      <c r="F31" s="16" t="str">
        <f t="shared" si="1"/>
        <v>Missing</v>
      </c>
      <c r="G31" s="9"/>
      <c r="H31" s="4"/>
      <c r="I31" s="4"/>
    </row>
    <row r="32" spans="1:9" x14ac:dyDescent="0.3">
      <c r="A32" s="16" t="s">
        <v>309</v>
      </c>
      <c r="B32" s="9" t="str">
        <f>IFERROR(INDEX('Employee Master'!$B$10:$B$109,MATCH(A32,'Employee Master'!$A$10:$A$109,0)),"")</f>
        <v>Dinesh</v>
      </c>
      <c r="C32" s="9"/>
      <c r="D32" s="18"/>
      <c r="E32" s="16" t="str">
        <f t="shared" ca="1" si="0"/>
        <v/>
      </c>
      <c r="F32" s="16" t="str">
        <f t="shared" si="1"/>
        <v>Missing</v>
      </c>
      <c r="G32" s="9"/>
      <c r="H32" s="4"/>
      <c r="I32" s="4"/>
    </row>
    <row r="33" spans="1:9" x14ac:dyDescent="0.3">
      <c r="A33" s="16" t="s">
        <v>310</v>
      </c>
      <c r="B33" s="9" t="str">
        <f>IFERROR(INDEX('Employee Master'!$B$10:$B$109,MATCH(A33,'Employee Master'!$A$10:$A$109,0)),"")</f>
        <v>Kumaresan M</v>
      </c>
      <c r="C33" s="9"/>
      <c r="D33" s="18"/>
      <c r="E33" s="16" t="str">
        <f t="shared" ca="1" si="0"/>
        <v/>
      </c>
      <c r="F33" s="16" t="str">
        <f t="shared" si="1"/>
        <v>Missing</v>
      </c>
      <c r="G33" s="9"/>
      <c r="H33" s="4"/>
      <c r="I33" s="4"/>
    </row>
    <row r="34" spans="1:9" x14ac:dyDescent="0.3">
      <c r="A34" s="16" t="s">
        <v>311</v>
      </c>
      <c r="B34" s="9" t="str">
        <f>IFERROR(INDEX('Employee Master'!$B$10:$B$109,MATCH(A34,'Employee Master'!$A$10:$A$109,0)),"")</f>
        <v>Vijay P</v>
      </c>
      <c r="C34" s="9"/>
      <c r="D34" s="18"/>
      <c r="E34" s="16" t="str">
        <f t="shared" ca="1" si="0"/>
        <v/>
      </c>
      <c r="F34" s="16" t="str">
        <f t="shared" si="1"/>
        <v>Missing</v>
      </c>
      <c r="G34" s="9"/>
      <c r="H34" s="4"/>
      <c r="I34" s="4"/>
    </row>
    <row r="35" spans="1:9" x14ac:dyDescent="0.3">
      <c r="A35" s="16" t="s">
        <v>312</v>
      </c>
      <c r="B35" s="9" t="str">
        <f>IFERROR(INDEX('Employee Master'!$B$10:$B$109,MATCH(A35,'Employee Master'!$A$10:$A$109,0)),"")</f>
        <v>Divya R</v>
      </c>
      <c r="C35" s="9"/>
      <c r="D35" s="18"/>
      <c r="E35" s="16" t="str">
        <f t="shared" ca="1" si="0"/>
        <v/>
      </c>
      <c r="F35" s="16" t="str">
        <f t="shared" si="1"/>
        <v>Missing</v>
      </c>
      <c r="G35" s="9"/>
      <c r="H35" s="4"/>
      <c r="I35" s="4"/>
    </row>
    <row r="36" spans="1:9" x14ac:dyDescent="0.3">
      <c r="A36" s="16" t="s">
        <v>313</v>
      </c>
      <c r="B36" s="9" t="str">
        <f>IFERROR(INDEX('Employee Master'!$B$10:$B$109,MATCH(A36,'Employee Master'!$A$10:$A$109,0)),"")</f>
        <v>Selvam R</v>
      </c>
      <c r="C36" s="9"/>
      <c r="D36" s="18"/>
      <c r="E36" s="16" t="str">
        <f t="shared" ca="1" si="0"/>
        <v/>
      </c>
      <c r="F36" s="16" t="str">
        <f t="shared" si="1"/>
        <v>Missing</v>
      </c>
      <c r="G36" s="9"/>
      <c r="H36" s="4"/>
      <c r="I36" s="4"/>
    </row>
    <row r="37" spans="1:9" x14ac:dyDescent="0.3">
      <c r="A37" s="16" t="s">
        <v>314</v>
      </c>
      <c r="B37" s="9" t="str">
        <f>IFERROR(INDEX('Employee Master'!$B$10:$B$109,MATCH(A37,'Employee Master'!$A$10:$A$109,0)),"")</f>
        <v>Saravanan</v>
      </c>
      <c r="C37" s="9"/>
      <c r="D37" s="18"/>
      <c r="E37" s="16" t="str">
        <f t="shared" ca="1" si="0"/>
        <v/>
      </c>
      <c r="F37" s="16" t="str">
        <f t="shared" si="1"/>
        <v>Missing</v>
      </c>
      <c r="G37" s="9"/>
      <c r="H37" s="4"/>
      <c r="I37" s="4"/>
    </row>
    <row r="38" spans="1:9" x14ac:dyDescent="0.3">
      <c r="A38" s="16" t="s">
        <v>315</v>
      </c>
      <c r="B38" s="9" t="str">
        <f>IFERROR(INDEX('Employee Master'!$B$10:$B$109,MATCH(A38,'Employee Master'!$A$10:$A$109,0)),"")</f>
        <v>Nandhini R</v>
      </c>
      <c r="C38" s="9"/>
      <c r="D38" s="18"/>
      <c r="E38" s="16" t="str">
        <f t="shared" ca="1" si="0"/>
        <v/>
      </c>
      <c r="F38" s="16" t="str">
        <f t="shared" si="1"/>
        <v>Missing</v>
      </c>
      <c r="G38" s="9"/>
      <c r="H38" s="4"/>
      <c r="I38" s="4"/>
    </row>
    <row r="39" spans="1:9" x14ac:dyDescent="0.3">
      <c r="A39" s="16" t="s">
        <v>316</v>
      </c>
      <c r="B39" s="9" t="str">
        <f>IFERROR(INDEX('Employee Master'!$B$10:$B$109,MATCH(A39,'Employee Master'!$A$10:$A$109,0)),"")</f>
        <v>Kavitha R</v>
      </c>
      <c r="C39" s="9"/>
      <c r="D39" s="18"/>
      <c r="E39" s="16" t="str">
        <f t="shared" ca="1" si="0"/>
        <v/>
      </c>
      <c r="F39" s="16" t="str">
        <f t="shared" si="1"/>
        <v>Missing</v>
      </c>
      <c r="G39" s="9"/>
      <c r="H39" s="4"/>
      <c r="I39" s="4"/>
    </row>
    <row r="40" spans="1:9" x14ac:dyDescent="0.3">
      <c r="A40" s="16" t="s">
        <v>317</v>
      </c>
      <c r="B40" s="9" t="str">
        <f>IFERROR(INDEX('Employee Master'!$B$10:$B$109,MATCH(A40,'Employee Master'!$A$10:$A$109,0)),"")</f>
        <v>Suresh K</v>
      </c>
      <c r="C40" s="9"/>
      <c r="D40" s="18"/>
      <c r="E40" s="16" t="str">
        <f t="shared" ca="1" si="0"/>
        <v/>
      </c>
      <c r="F40" s="16" t="str">
        <f t="shared" si="1"/>
        <v>Missing</v>
      </c>
      <c r="G40" s="9"/>
      <c r="H40" s="4"/>
      <c r="I40" s="4"/>
    </row>
    <row r="41" spans="1:9" x14ac:dyDescent="0.3">
      <c r="A41" s="16" t="s">
        <v>318</v>
      </c>
      <c r="B41" s="9" t="str">
        <f>IFERROR(INDEX('Employee Master'!$B$10:$B$109,MATCH(A41,'Employee Master'!$A$10:$A$109,0)),"")</f>
        <v>Sathish M</v>
      </c>
      <c r="C41" s="9"/>
      <c r="D41" s="18"/>
      <c r="E41" s="16" t="str">
        <f t="shared" ca="1" si="0"/>
        <v/>
      </c>
      <c r="F41" s="16" t="str">
        <f t="shared" si="1"/>
        <v>Missing</v>
      </c>
      <c r="G41" s="9"/>
      <c r="H41" s="4"/>
      <c r="I41" s="4"/>
    </row>
    <row r="42" spans="1:9" x14ac:dyDescent="0.3">
      <c r="A42" s="16" t="s">
        <v>319</v>
      </c>
      <c r="B42" s="9" t="str">
        <f>IFERROR(INDEX('Employee Master'!$B$10:$B$109,MATCH(A42,'Employee Master'!$A$10:$A$109,0)),"")</f>
        <v>Selvam K</v>
      </c>
      <c r="C42" s="9"/>
      <c r="D42" s="18"/>
      <c r="E42" s="16" t="str">
        <f t="shared" ref="E42:E73" ca="1" si="2">IF(D42="","",D42-TODAY())</f>
        <v/>
      </c>
      <c r="F42" s="16" t="str">
        <f t="shared" ref="F42:F73" si="3">IF(AND(A42="",C42=""),"",IF(D42="","Missing",IF(E42&lt;0,"Expired",IF(E42&lt;=7,"Due in 7 Days",IF(E42&lt;=30,"Due in 30 Days","Valid")))))</f>
        <v>Missing</v>
      </c>
      <c r="G42" s="9"/>
      <c r="H42" s="4"/>
      <c r="I42" s="4"/>
    </row>
    <row r="43" spans="1:9" x14ac:dyDescent="0.3">
      <c r="A43" s="16" t="s">
        <v>320</v>
      </c>
      <c r="B43" s="9" t="str">
        <f>IFERROR(INDEX('Employee Master'!$B$10:$B$109,MATCH(A43,'Employee Master'!$A$10:$A$109,0)),"")</f>
        <v>Revathi V</v>
      </c>
      <c r="C43" s="9"/>
      <c r="D43" s="18"/>
      <c r="E43" s="16" t="str">
        <f t="shared" ca="1" si="2"/>
        <v/>
      </c>
      <c r="F43" s="16" t="str">
        <f t="shared" si="3"/>
        <v>Missing</v>
      </c>
      <c r="G43" s="9"/>
      <c r="H43" s="4"/>
      <c r="I43" s="4"/>
    </row>
    <row r="44" spans="1:9" x14ac:dyDescent="0.3">
      <c r="A44" s="16" t="s">
        <v>321</v>
      </c>
      <c r="B44" s="9" t="str">
        <f>IFERROR(INDEX('Employee Master'!$B$10:$B$109,MATCH(A44,'Employee Master'!$A$10:$A$109,0)),"")</f>
        <v>Naveen M</v>
      </c>
      <c r="C44" s="9"/>
      <c r="D44" s="18"/>
      <c r="E44" s="16" t="str">
        <f t="shared" ca="1" si="2"/>
        <v/>
      </c>
      <c r="F44" s="16" t="str">
        <f t="shared" si="3"/>
        <v>Missing</v>
      </c>
      <c r="G44" s="9"/>
      <c r="H44" s="4"/>
      <c r="I44" s="4"/>
    </row>
    <row r="45" spans="1:9" x14ac:dyDescent="0.3">
      <c r="A45" s="16" t="s">
        <v>322</v>
      </c>
      <c r="B45" s="9" t="str">
        <f>IFERROR(INDEX('Employee Master'!$B$10:$B$109,MATCH(A45,'Employee Master'!$A$10:$A$109,0)),"")</f>
        <v>Kavitha K</v>
      </c>
      <c r="C45" s="9"/>
      <c r="D45" s="18"/>
      <c r="E45" s="16" t="str">
        <f t="shared" ca="1" si="2"/>
        <v/>
      </c>
      <c r="F45" s="16" t="str">
        <f t="shared" si="3"/>
        <v>Missing</v>
      </c>
      <c r="G45" s="9"/>
      <c r="H45" s="4"/>
      <c r="I45" s="4"/>
    </row>
    <row r="46" spans="1:9" x14ac:dyDescent="0.3">
      <c r="A46" s="16" t="s">
        <v>339</v>
      </c>
      <c r="B46" s="9" t="str">
        <f>IFERROR(INDEX('Employee Master'!$B$10:$B$109,MATCH(A46,'Employee Master'!$A$10:$A$109,0)),"")</f>
        <v/>
      </c>
      <c r="C46" s="9"/>
      <c r="D46" s="18"/>
      <c r="E46" s="16" t="str">
        <f t="shared" ca="1" si="2"/>
        <v/>
      </c>
      <c r="F46" s="16" t="str">
        <f t="shared" si="3"/>
        <v>Missing</v>
      </c>
      <c r="G46" s="9"/>
    </row>
    <row r="47" spans="1:9" x14ac:dyDescent="0.3">
      <c r="A47" s="16" t="s">
        <v>340</v>
      </c>
      <c r="B47" s="9" t="str">
        <f>IFERROR(INDEX('Employee Master'!$B$10:$B$109,MATCH(A47,'Employee Master'!$A$10:$A$109,0)),"")</f>
        <v/>
      </c>
      <c r="C47" s="9"/>
      <c r="D47" s="18"/>
      <c r="E47" s="16" t="str">
        <f t="shared" ca="1" si="2"/>
        <v/>
      </c>
      <c r="F47" s="16" t="str">
        <f t="shared" si="3"/>
        <v>Missing</v>
      </c>
      <c r="G47" s="9"/>
    </row>
    <row r="48" spans="1:9" x14ac:dyDescent="0.3">
      <c r="A48" s="16" t="s">
        <v>341</v>
      </c>
      <c r="B48" s="9" t="str">
        <f>IFERROR(INDEX('Employee Master'!$B$10:$B$109,MATCH(A48,'Employee Master'!$A$10:$A$109,0)),"")</f>
        <v/>
      </c>
      <c r="C48" s="9"/>
      <c r="D48" s="18"/>
      <c r="E48" s="16" t="str">
        <f t="shared" ca="1" si="2"/>
        <v/>
      </c>
      <c r="F48" s="16" t="str">
        <f t="shared" si="3"/>
        <v>Missing</v>
      </c>
      <c r="G48" s="9"/>
    </row>
    <row r="49" spans="1:7" x14ac:dyDescent="0.3">
      <c r="A49" s="16" t="s">
        <v>342</v>
      </c>
      <c r="B49" s="9" t="str">
        <f>IFERROR(INDEX('Employee Master'!$B$10:$B$109,MATCH(A49,'Employee Master'!$A$10:$A$109,0)),"")</f>
        <v/>
      </c>
      <c r="C49" s="9"/>
      <c r="D49" s="18"/>
      <c r="E49" s="16" t="str">
        <f t="shared" ca="1" si="2"/>
        <v/>
      </c>
      <c r="F49" s="16" t="str">
        <f t="shared" si="3"/>
        <v>Missing</v>
      </c>
      <c r="G49" s="9"/>
    </row>
    <row r="50" spans="1:7" x14ac:dyDescent="0.3">
      <c r="A50" s="16" t="s">
        <v>343</v>
      </c>
      <c r="B50" s="9" t="str">
        <f>IFERROR(INDEX('Employee Master'!$B$10:$B$109,MATCH(A50,'Employee Master'!$A$10:$A$109,0)),"")</f>
        <v/>
      </c>
      <c r="C50" s="9"/>
      <c r="D50" s="18"/>
      <c r="E50" s="16" t="str">
        <f t="shared" ca="1" si="2"/>
        <v/>
      </c>
      <c r="F50" s="16" t="str">
        <f t="shared" si="3"/>
        <v>Missing</v>
      </c>
      <c r="G50" s="9"/>
    </row>
    <row r="51" spans="1:7" x14ac:dyDescent="0.3">
      <c r="A51" s="16" t="s">
        <v>344</v>
      </c>
      <c r="B51" s="9" t="str">
        <f>IFERROR(INDEX('Employee Master'!$B$10:$B$109,MATCH(A51,'Employee Master'!$A$10:$A$109,0)),"")</f>
        <v/>
      </c>
      <c r="C51" s="9"/>
      <c r="D51" s="18"/>
      <c r="E51" s="16" t="str">
        <f t="shared" ca="1" si="2"/>
        <v/>
      </c>
      <c r="F51" s="16" t="str">
        <f t="shared" si="3"/>
        <v>Missing</v>
      </c>
      <c r="G51" s="9"/>
    </row>
    <row r="52" spans="1:7" x14ac:dyDescent="0.3">
      <c r="A52" s="16" t="s">
        <v>345</v>
      </c>
      <c r="B52" s="9" t="str">
        <f>IFERROR(INDEX('Employee Master'!$B$10:$B$109,MATCH(A52,'Employee Master'!$A$10:$A$109,0)),"")</f>
        <v/>
      </c>
      <c r="C52" s="9"/>
      <c r="D52" s="18"/>
      <c r="E52" s="16" t="str">
        <f t="shared" ca="1" si="2"/>
        <v/>
      </c>
      <c r="F52" s="16" t="str">
        <f t="shared" si="3"/>
        <v>Missing</v>
      </c>
      <c r="G52" s="9"/>
    </row>
    <row r="53" spans="1:7" x14ac:dyDescent="0.3">
      <c r="A53" s="16" t="s">
        <v>346</v>
      </c>
      <c r="B53" s="9" t="str">
        <f>IFERROR(INDEX('Employee Master'!$B$10:$B$109,MATCH(A53,'Employee Master'!$A$10:$A$109,0)),"")</f>
        <v/>
      </c>
      <c r="C53" s="9"/>
      <c r="D53" s="18"/>
      <c r="E53" s="16" t="str">
        <f t="shared" ca="1" si="2"/>
        <v/>
      </c>
      <c r="F53" s="16" t="str">
        <f t="shared" si="3"/>
        <v>Missing</v>
      </c>
      <c r="G53" s="9"/>
    </row>
    <row r="54" spans="1:7" x14ac:dyDescent="0.3">
      <c r="A54" s="16" t="s">
        <v>347</v>
      </c>
      <c r="B54" s="9" t="str">
        <f>IFERROR(INDEX('Employee Master'!$B$10:$B$109,MATCH(A54,'Employee Master'!$A$10:$A$109,0)),"")</f>
        <v/>
      </c>
      <c r="C54" s="9"/>
      <c r="D54" s="18"/>
      <c r="E54" s="16" t="str">
        <f t="shared" ca="1" si="2"/>
        <v/>
      </c>
      <c r="F54" s="16" t="str">
        <f t="shared" si="3"/>
        <v>Missing</v>
      </c>
      <c r="G54" s="9"/>
    </row>
    <row r="55" spans="1:7" x14ac:dyDescent="0.3">
      <c r="A55" s="16"/>
      <c r="B55" s="9" t="str">
        <f>IFERROR(INDEX('Employee Master'!$B$10:$B$109,MATCH(A55,'Employee Master'!$A$10:$A$109,0)),"")</f>
        <v/>
      </c>
      <c r="C55" s="9"/>
      <c r="D55" s="18"/>
      <c r="E55" s="16" t="str">
        <f t="shared" ca="1" si="2"/>
        <v/>
      </c>
      <c r="F55" s="16" t="str">
        <f t="shared" si="3"/>
        <v/>
      </c>
      <c r="G55" s="9"/>
    </row>
    <row r="56" spans="1:7" x14ac:dyDescent="0.3">
      <c r="A56" s="16"/>
      <c r="B56" s="9" t="str">
        <f>IFERROR(INDEX('Employee Master'!$B$10:$B$109,MATCH(A56,'Employee Master'!$A$10:$A$109,0)),"")</f>
        <v/>
      </c>
      <c r="C56" s="9"/>
      <c r="D56" s="18"/>
      <c r="E56" s="16" t="str">
        <f t="shared" ca="1" si="2"/>
        <v/>
      </c>
      <c r="F56" s="16" t="str">
        <f t="shared" si="3"/>
        <v/>
      </c>
      <c r="G56" s="9"/>
    </row>
    <row r="57" spans="1:7" x14ac:dyDescent="0.3">
      <c r="A57" s="16"/>
      <c r="B57" s="9" t="str">
        <f>IFERROR(INDEX('Employee Master'!$B$10:$B$109,MATCH(A57,'Employee Master'!$A$10:$A$109,0)),"")</f>
        <v/>
      </c>
      <c r="C57" s="9"/>
      <c r="D57" s="18"/>
      <c r="E57" s="16" t="str">
        <f t="shared" ca="1" si="2"/>
        <v/>
      </c>
      <c r="F57" s="16" t="str">
        <f t="shared" si="3"/>
        <v/>
      </c>
      <c r="G57" s="9"/>
    </row>
    <row r="58" spans="1:7" x14ac:dyDescent="0.3">
      <c r="A58" s="16"/>
      <c r="B58" s="9" t="str">
        <f>IFERROR(INDEX('Employee Master'!$B$10:$B$109,MATCH(A58,'Employee Master'!$A$10:$A$109,0)),"")</f>
        <v/>
      </c>
      <c r="C58" s="9"/>
      <c r="D58" s="18"/>
      <c r="E58" s="16" t="str">
        <f t="shared" ca="1" si="2"/>
        <v/>
      </c>
      <c r="F58" s="16" t="str">
        <f t="shared" si="3"/>
        <v/>
      </c>
      <c r="G58" s="9"/>
    </row>
    <row r="59" spans="1:7" x14ac:dyDescent="0.3">
      <c r="A59" s="16"/>
      <c r="B59" s="9" t="str">
        <f>IFERROR(INDEX('Employee Master'!$B$10:$B$109,MATCH(A59,'Employee Master'!$A$10:$A$109,0)),"")</f>
        <v/>
      </c>
      <c r="C59" s="9"/>
      <c r="D59" s="18"/>
      <c r="E59" s="16" t="str">
        <f t="shared" ca="1" si="2"/>
        <v/>
      </c>
      <c r="F59" s="16" t="str">
        <f t="shared" si="3"/>
        <v/>
      </c>
      <c r="G59" s="9"/>
    </row>
    <row r="60" spans="1:7" x14ac:dyDescent="0.3">
      <c r="A60" s="16"/>
      <c r="B60" s="9" t="str">
        <f>IFERROR(INDEX('Employee Master'!$B$10:$B$109,MATCH(A60,'Employee Master'!$A$10:$A$109,0)),"")</f>
        <v/>
      </c>
      <c r="C60" s="9"/>
      <c r="D60" s="18"/>
      <c r="E60" s="16" t="str">
        <f t="shared" ca="1" si="2"/>
        <v/>
      </c>
      <c r="F60" s="16" t="str">
        <f t="shared" si="3"/>
        <v/>
      </c>
      <c r="G60" s="9"/>
    </row>
    <row r="61" spans="1:7" x14ac:dyDescent="0.3">
      <c r="A61" s="16"/>
      <c r="B61" s="9" t="str">
        <f>IFERROR(INDEX('Employee Master'!$B$10:$B$109,MATCH(A61,'Employee Master'!$A$10:$A$109,0)),"")</f>
        <v/>
      </c>
      <c r="C61" s="9"/>
      <c r="D61" s="18"/>
      <c r="E61" s="16" t="str">
        <f t="shared" ca="1" si="2"/>
        <v/>
      </c>
      <c r="F61" s="16" t="str">
        <f t="shared" si="3"/>
        <v/>
      </c>
      <c r="G61" s="9"/>
    </row>
    <row r="62" spans="1:7" x14ac:dyDescent="0.3">
      <c r="A62" s="16"/>
      <c r="B62" s="9" t="str">
        <f>IFERROR(INDEX('Employee Master'!$B$10:$B$109,MATCH(A62,'Employee Master'!$A$10:$A$109,0)),"")</f>
        <v/>
      </c>
      <c r="C62" s="9"/>
      <c r="D62" s="18"/>
      <c r="E62" s="16" t="str">
        <f t="shared" ca="1" si="2"/>
        <v/>
      </c>
      <c r="F62" s="16" t="str">
        <f t="shared" si="3"/>
        <v/>
      </c>
      <c r="G62" s="9"/>
    </row>
    <row r="63" spans="1:7" x14ac:dyDescent="0.3">
      <c r="A63" s="16"/>
      <c r="B63" s="9" t="str">
        <f>IFERROR(INDEX('Employee Master'!$B$10:$B$109,MATCH(A63,'Employee Master'!$A$10:$A$109,0)),"")</f>
        <v/>
      </c>
      <c r="C63" s="9"/>
      <c r="D63" s="18"/>
      <c r="E63" s="16" t="str">
        <f t="shared" ca="1" si="2"/>
        <v/>
      </c>
      <c r="F63" s="16" t="str">
        <f t="shared" si="3"/>
        <v/>
      </c>
      <c r="G63" s="9"/>
    </row>
    <row r="64" spans="1:7" x14ac:dyDescent="0.3">
      <c r="A64" s="16"/>
      <c r="B64" s="9" t="str">
        <f>IFERROR(INDEX('Employee Master'!$B$10:$B$109,MATCH(A64,'Employee Master'!$A$10:$A$109,0)),"")</f>
        <v/>
      </c>
      <c r="C64" s="9"/>
      <c r="D64" s="18"/>
      <c r="E64" s="16" t="str">
        <f t="shared" ca="1" si="2"/>
        <v/>
      </c>
      <c r="F64" s="16" t="str">
        <f t="shared" si="3"/>
        <v/>
      </c>
      <c r="G64" s="9"/>
    </row>
    <row r="65" spans="1:7" x14ac:dyDescent="0.3">
      <c r="A65" s="16"/>
      <c r="B65" s="9" t="str">
        <f>IFERROR(INDEX('Employee Master'!$B$10:$B$109,MATCH(A65,'Employee Master'!$A$10:$A$109,0)),"")</f>
        <v/>
      </c>
      <c r="C65" s="9"/>
      <c r="D65" s="18"/>
      <c r="E65" s="16" t="str">
        <f t="shared" ca="1" si="2"/>
        <v/>
      </c>
      <c r="F65" s="16" t="str">
        <f t="shared" si="3"/>
        <v/>
      </c>
      <c r="G65" s="9"/>
    </row>
    <row r="66" spans="1:7" x14ac:dyDescent="0.3">
      <c r="A66" s="16"/>
      <c r="B66" s="9" t="str">
        <f>IFERROR(INDEX('Employee Master'!$B$10:$B$109,MATCH(A66,'Employee Master'!$A$10:$A$109,0)),"")</f>
        <v/>
      </c>
      <c r="C66" s="9"/>
      <c r="D66" s="18"/>
      <c r="E66" s="16" t="str">
        <f t="shared" ca="1" si="2"/>
        <v/>
      </c>
      <c r="F66" s="16" t="str">
        <f t="shared" si="3"/>
        <v/>
      </c>
      <c r="G66" s="9"/>
    </row>
    <row r="67" spans="1:7" x14ac:dyDescent="0.3">
      <c r="A67" s="16"/>
      <c r="B67" s="9" t="str">
        <f>IFERROR(INDEX('Employee Master'!$B$10:$B$109,MATCH(A67,'Employee Master'!$A$10:$A$109,0)),"")</f>
        <v/>
      </c>
      <c r="C67" s="9"/>
      <c r="D67" s="18"/>
      <c r="E67" s="16" t="str">
        <f t="shared" ca="1" si="2"/>
        <v/>
      </c>
      <c r="F67" s="16" t="str">
        <f t="shared" si="3"/>
        <v/>
      </c>
      <c r="G67" s="9"/>
    </row>
    <row r="68" spans="1:7" x14ac:dyDescent="0.3">
      <c r="A68" s="16"/>
      <c r="B68" s="9" t="str">
        <f>IFERROR(INDEX('Employee Master'!$B$10:$B$109,MATCH(A68,'Employee Master'!$A$10:$A$109,0)),"")</f>
        <v/>
      </c>
      <c r="C68" s="9"/>
      <c r="D68" s="18"/>
      <c r="E68" s="16" t="str">
        <f t="shared" ca="1" si="2"/>
        <v/>
      </c>
      <c r="F68" s="16" t="str">
        <f t="shared" si="3"/>
        <v/>
      </c>
      <c r="G68" s="9"/>
    </row>
    <row r="69" spans="1:7" x14ac:dyDescent="0.3">
      <c r="A69" s="16"/>
      <c r="B69" s="9" t="str">
        <f>IFERROR(INDEX('Employee Master'!$B$10:$B$109,MATCH(A69,'Employee Master'!$A$10:$A$109,0)),"")</f>
        <v/>
      </c>
      <c r="C69" s="9"/>
      <c r="D69" s="18"/>
      <c r="E69" s="16" t="str">
        <f t="shared" ca="1" si="2"/>
        <v/>
      </c>
      <c r="F69" s="16" t="str">
        <f t="shared" si="3"/>
        <v/>
      </c>
      <c r="G69" s="9"/>
    </row>
    <row r="70" spans="1:7" x14ac:dyDescent="0.3">
      <c r="A70" s="16"/>
      <c r="B70" s="9" t="str">
        <f>IFERROR(INDEX('Employee Master'!$B$10:$B$109,MATCH(A70,'Employee Master'!$A$10:$A$109,0)),"")</f>
        <v/>
      </c>
      <c r="C70" s="9"/>
      <c r="D70" s="18"/>
      <c r="E70" s="16" t="str">
        <f t="shared" ca="1" si="2"/>
        <v/>
      </c>
      <c r="F70" s="16" t="str">
        <f t="shared" si="3"/>
        <v/>
      </c>
      <c r="G70" s="9"/>
    </row>
    <row r="71" spans="1:7" x14ac:dyDescent="0.3">
      <c r="A71" s="16"/>
      <c r="B71" s="9" t="str">
        <f>IFERROR(INDEX('Employee Master'!$B$10:$B$109,MATCH(A71,'Employee Master'!$A$10:$A$109,0)),"")</f>
        <v/>
      </c>
      <c r="C71" s="9"/>
      <c r="D71" s="18"/>
      <c r="E71" s="16" t="str">
        <f t="shared" ca="1" si="2"/>
        <v/>
      </c>
      <c r="F71" s="16" t="str">
        <f t="shared" si="3"/>
        <v/>
      </c>
      <c r="G71" s="9"/>
    </row>
    <row r="72" spans="1:7" x14ac:dyDescent="0.3">
      <c r="A72" s="16"/>
      <c r="B72" s="9" t="str">
        <f>IFERROR(INDEX('Employee Master'!$B$10:$B$109,MATCH(A72,'Employee Master'!$A$10:$A$109,0)),"")</f>
        <v/>
      </c>
      <c r="C72" s="9"/>
      <c r="D72" s="18"/>
      <c r="E72" s="16" t="str">
        <f t="shared" ca="1" si="2"/>
        <v/>
      </c>
      <c r="F72" s="16" t="str">
        <f t="shared" si="3"/>
        <v/>
      </c>
      <c r="G72" s="9"/>
    </row>
    <row r="73" spans="1:7" x14ac:dyDescent="0.3">
      <c r="A73" s="16"/>
      <c r="B73" s="9" t="str">
        <f>IFERROR(INDEX('Employee Master'!$B$10:$B$109,MATCH(A73,'Employee Master'!$A$10:$A$109,0)),"")</f>
        <v/>
      </c>
      <c r="C73" s="9"/>
      <c r="D73" s="18"/>
      <c r="E73" s="16" t="str">
        <f t="shared" ca="1" si="2"/>
        <v/>
      </c>
      <c r="F73" s="16" t="str">
        <f t="shared" si="3"/>
        <v/>
      </c>
      <c r="G73" s="9"/>
    </row>
    <row r="74" spans="1:7" x14ac:dyDescent="0.3">
      <c r="A74" s="16"/>
      <c r="B74" s="9" t="str">
        <f>IFERROR(INDEX('Employee Master'!$B$10:$B$109,MATCH(A74,'Employee Master'!$A$10:$A$109,0)),"")</f>
        <v/>
      </c>
      <c r="C74" s="9"/>
      <c r="D74" s="18"/>
      <c r="E74" s="16" t="str">
        <f t="shared" ref="E74:E105" ca="1" si="4">IF(D74="","",D74-TODAY())</f>
        <v/>
      </c>
      <c r="F74" s="16" t="str">
        <f t="shared" ref="F74:F105" si="5">IF(AND(A74="",C74=""),"",IF(D74="","Missing",IF(E74&lt;0,"Expired",IF(E74&lt;=7,"Due in 7 Days",IF(E74&lt;=30,"Due in 30 Days","Valid")))))</f>
        <v/>
      </c>
      <c r="G74" s="9"/>
    </row>
    <row r="75" spans="1:7" x14ac:dyDescent="0.3">
      <c r="A75" s="16"/>
      <c r="B75" s="9" t="str">
        <f>IFERROR(INDEX('Employee Master'!$B$10:$B$109,MATCH(A75,'Employee Master'!$A$10:$A$109,0)),"")</f>
        <v/>
      </c>
      <c r="C75" s="9"/>
      <c r="D75" s="18"/>
      <c r="E75" s="16" t="str">
        <f t="shared" ca="1" si="4"/>
        <v/>
      </c>
      <c r="F75" s="16" t="str">
        <f t="shared" si="5"/>
        <v/>
      </c>
      <c r="G75" s="9"/>
    </row>
    <row r="76" spans="1:7" x14ac:dyDescent="0.3">
      <c r="A76" s="16"/>
      <c r="B76" s="9" t="str">
        <f>IFERROR(INDEX('Employee Master'!$B$10:$B$109,MATCH(A76,'Employee Master'!$A$10:$A$109,0)),"")</f>
        <v/>
      </c>
      <c r="C76" s="9"/>
      <c r="D76" s="18"/>
      <c r="E76" s="16" t="str">
        <f t="shared" ca="1" si="4"/>
        <v/>
      </c>
      <c r="F76" s="16" t="str">
        <f t="shared" si="5"/>
        <v/>
      </c>
      <c r="G76" s="9"/>
    </row>
    <row r="77" spans="1:7" x14ac:dyDescent="0.3">
      <c r="A77" s="16"/>
      <c r="B77" s="9" t="str">
        <f>IFERROR(INDEX('Employee Master'!$B$10:$B$109,MATCH(A77,'Employee Master'!$A$10:$A$109,0)),"")</f>
        <v/>
      </c>
      <c r="C77" s="9"/>
      <c r="D77" s="18"/>
      <c r="E77" s="16" t="str">
        <f t="shared" ca="1" si="4"/>
        <v/>
      </c>
      <c r="F77" s="16" t="str">
        <f t="shared" si="5"/>
        <v/>
      </c>
      <c r="G77" s="9"/>
    </row>
    <row r="78" spans="1:7" x14ac:dyDescent="0.3">
      <c r="A78" s="16"/>
      <c r="B78" s="9" t="str">
        <f>IFERROR(INDEX('Employee Master'!$B$10:$B$109,MATCH(A78,'Employee Master'!$A$10:$A$109,0)),"")</f>
        <v/>
      </c>
      <c r="C78" s="9"/>
      <c r="D78" s="18"/>
      <c r="E78" s="16" t="str">
        <f t="shared" ca="1" si="4"/>
        <v/>
      </c>
      <c r="F78" s="16" t="str">
        <f t="shared" si="5"/>
        <v/>
      </c>
      <c r="G78" s="9"/>
    </row>
    <row r="79" spans="1:7" x14ac:dyDescent="0.3">
      <c r="A79" s="16"/>
      <c r="B79" s="9" t="str">
        <f>IFERROR(INDEX('Employee Master'!$B$10:$B$109,MATCH(A79,'Employee Master'!$A$10:$A$109,0)),"")</f>
        <v/>
      </c>
      <c r="C79" s="9"/>
      <c r="D79" s="18"/>
      <c r="E79" s="16" t="str">
        <f t="shared" ca="1" si="4"/>
        <v/>
      </c>
      <c r="F79" s="16" t="str">
        <f t="shared" si="5"/>
        <v/>
      </c>
      <c r="G79" s="9"/>
    </row>
    <row r="80" spans="1:7" x14ac:dyDescent="0.3">
      <c r="A80" s="16"/>
      <c r="B80" s="9" t="str">
        <f>IFERROR(INDEX('Employee Master'!$B$10:$B$109,MATCH(A80,'Employee Master'!$A$10:$A$109,0)),"")</f>
        <v/>
      </c>
      <c r="C80" s="9"/>
      <c r="D80" s="18"/>
      <c r="E80" s="16" t="str">
        <f t="shared" ca="1" si="4"/>
        <v/>
      </c>
      <c r="F80" s="16" t="str">
        <f t="shared" si="5"/>
        <v/>
      </c>
      <c r="G80" s="9"/>
    </row>
    <row r="81" spans="1:7" x14ac:dyDescent="0.3">
      <c r="A81" s="16"/>
      <c r="B81" s="9" t="str">
        <f>IFERROR(INDEX('Employee Master'!$B$10:$B$109,MATCH(A81,'Employee Master'!$A$10:$A$109,0)),"")</f>
        <v/>
      </c>
      <c r="C81" s="9"/>
      <c r="D81" s="18"/>
      <c r="E81" s="16" t="str">
        <f t="shared" ca="1" si="4"/>
        <v/>
      </c>
      <c r="F81" s="16" t="str">
        <f t="shared" si="5"/>
        <v/>
      </c>
      <c r="G81" s="9"/>
    </row>
    <row r="82" spans="1:7" x14ac:dyDescent="0.3">
      <c r="A82" s="16"/>
      <c r="B82" s="9" t="str">
        <f>IFERROR(INDEX('Employee Master'!$B$10:$B$109,MATCH(A82,'Employee Master'!$A$10:$A$109,0)),"")</f>
        <v/>
      </c>
      <c r="C82" s="9"/>
      <c r="D82" s="18"/>
      <c r="E82" s="16" t="str">
        <f t="shared" ca="1" si="4"/>
        <v/>
      </c>
      <c r="F82" s="16" t="str">
        <f t="shared" si="5"/>
        <v/>
      </c>
      <c r="G82" s="9"/>
    </row>
    <row r="83" spans="1:7" x14ac:dyDescent="0.3">
      <c r="A83" s="16"/>
      <c r="B83" s="9" t="str">
        <f>IFERROR(INDEX('Employee Master'!$B$10:$B$109,MATCH(A83,'Employee Master'!$A$10:$A$109,0)),"")</f>
        <v/>
      </c>
      <c r="C83" s="9"/>
      <c r="D83" s="18"/>
      <c r="E83" s="16" t="str">
        <f t="shared" ca="1" si="4"/>
        <v/>
      </c>
      <c r="F83" s="16" t="str">
        <f t="shared" si="5"/>
        <v/>
      </c>
      <c r="G83" s="9"/>
    </row>
    <row r="84" spans="1:7" x14ac:dyDescent="0.3">
      <c r="A84" s="16"/>
      <c r="B84" s="9" t="str">
        <f>IFERROR(INDEX('Employee Master'!$B$10:$B$109,MATCH(A84,'Employee Master'!$A$10:$A$109,0)),"")</f>
        <v/>
      </c>
      <c r="C84" s="9"/>
      <c r="D84" s="18"/>
      <c r="E84" s="16" t="str">
        <f t="shared" ca="1" si="4"/>
        <v/>
      </c>
      <c r="F84" s="16" t="str">
        <f t="shared" si="5"/>
        <v/>
      </c>
      <c r="G84" s="9"/>
    </row>
    <row r="85" spans="1:7" x14ac:dyDescent="0.3">
      <c r="A85" s="16"/>
      <c r="B85" s="9" t="str">
        <f>IFERROR(INDEX('Employee Master'!$B$10:$B$109,MATCH(A85,'Employee Master'!$A$10:$A$109,0)),"")</f>
        <v/>
      </c>
      <c r="C85" s="9"/>
      <c r="D85" s="18"/>
      <c r="E85" s="16" t="str">
        <f t="shared" ca="1" si="4"/>
        <v/>
      </c>
      <c r="F85" s="16" t="str">
        <f t="shared" si="5"/>
        <v/>
      </c>
      <c r="G85" s="9"/>
    </row>
    <row r="86" spans="1:7" x14ac:dyDescent="0.3">
      <c r="A86" s="16"/>
      <c r="B86" s="9" t="str">
        <f>IFERROR(INDEX('Employee Master'!$B$10:$B$109,MATCH(A86,'Employee Master'!$A$10:$A$109,0)),"")</f>
        <v/>
      </c>
      <c r="C86" s="9"/>
      <c r="D86" s="18"/>
      <c r="E86" s="16" t="str">
        <f t="shared" ca="1" si="4"/>
        <v/>
      </c>
      <c r="F86" s="16" t="str">
        <f t="shared" si="5"/>
        <v/>
      </c>
      <c r="G86" s="9"/>
    </row>
    <row r="87" spans="1:7" x14ac:dyDescent="0.3">
      <c r="A87" s="16"/>
      <c r="B87" s="9" t="str">
        <f>IFERROR(INDEX('Employee Master'!$B$10:$B$109,MATCH(A87,'Employee Master'!$A$10:$A$109,0)),"")</f>
        <v/>
      </c>
      <c r="C87" s="9"/>
      <c r="D87" s="18"/>
      <c r="E87" s="16" t="str">
        <f t="shared" ca="1" si="4"/>
        <v/>
      </c>
      <c r="F87" s="16" t="str">
        <f t="shared" si="5"/>
        <v/>
      </c>
      <c r="G87" s="9"/>
    </row>
    <row r="88" spans="1:7" x14ac:dyDescent="0.3">
      <c r="A88" s="16"/>
      <c r="B88" s="9" t="str">
        <f>IFERROR(INDEX('Employee Master'!$B$10:$B$109,MATCH(A88,'Employee Master'!$A$10:$A$109,0)),"")</f>
        <v/>
      </c>
      <c r="C88" s="9"/>
      <c r="D88" s="18"/>
      <c r="E88" s="16" t="str">
        <f t="shared" ca="1" si="4"/>
        <v/>
      </c>
      <c r="F88" s="16" t="str">
        <f t="shared" si="5"/>
        <v/>
      </c>
      <c r="G88" s="9"/>
    </row>
    <row r="89" spans="1:7" x14ac:dyDescent="0.3">
      <c r="A89" s="16"/>
      <c r="B89" s="9" t="str">
        <f>IFERROR(INDEX('Employee Master'!$B$10:$B$109,MATCH(A89,'Employee Master'!$A$10:$A$109,0)),"")</f>
        <v/>
      </c>
      <c r="C89" s="9"/>
      <c r="D89" s="18"/>
      <c r="E89" s="16" t="str">
        <f t="shared" ca="1" si="4"/>
        <v/>
      </c>
      <c r="F89" s="16" t="str">
        <f t="shared" si="5"/>
        <v/>
      </c>
      <c r="G89" s="9"/>
    </row>
    <row r="90" spans="1:7" x14ac:dyDescent="0.3">
      <c r="A90" s="16"/>
      <c r="B90" s="9" t="str">
        <f>IFERROR(INDEX('Employee Master'!$B$10:$B$109,MATCH(A90,'Employee Master'!$A$10:$A$109,0)),"")</f>
        <v/>
      </c>
      <c r="C90" s="9"/>
      <c r="D90" s="18"/>
      <c r="E90" s="16" t="str">
        <f t="shared" ca="1" si="4"/>
        <v/>
      </c>
      <c r="F90" s="16" t="str">
        <f t="shared" si="5"/>
        <v/>
      </c>
      <c r="G90" s="9"/>
    </row>
    <row r="91" spans="1:7" x14ac:dyDescent="0.3">
      <c r="A91" s="16"/>
      <c r="B91" s="9" t="str">
        <f>IFERROR(INDEX('Employee Master'!$B$10:$B$109,MATCH(A91,'Employee Master'!$A$10:$A$109,0)),"")</f>
        <v/>
      </c>
      <c r="C91" s="9"/>
      <c r="D91" s="18"/>
      <c r="E91" s="16" t="str">
        <f t="shared" ca="1" si="4"/>
        <v/>
      </c>
      <c r="F91" s="16" t="str">
        <f t="shared" si="5"/>
        <v/>
      </c>
      <c r="G91" s="9"/>
    </row>
    <row r="92" spans="1:7" x14ac:dyDescent="0.3">
      <c r="A92" s="16"/>
      <c r="B92" s="9" t="str">
        <f>IFERROR(INDEX('Employee Master'!$B$10:$B$109,MATCH(A92,'Employee Master'!$A$10:$A$109,0)),"")</f>
        <v/>
      </c>
      <c r="C92" s="9"/>
      <c r="D92" s="18"/>
      <c r="E92" s="16" t="str">
        <f t="shared" ca="1" si="4"/>
        <v/>
      </c>
      <c r="F92" s="16" t="str">
        <f t="shared" si="5"/>
        <v/>
      </c>
      <c r="G92" s="9"/>
    </row>
    <row r="93" spans="1:7" x14ac:dyDescent="0.3">
      <c r="A93" s="16"/>
      <c r="B93" s="9" t="str">
        <f>IFERROR(INDEX('Employee Master'!$B$10:$B$109,MATCH(A93,'Employee Master'!$A$10:$A$109,0)),"")</f>
        <v/>
      </c>
      <c r="C93" s="9"/>
      <c r="D93" s="18"/>
      <c r="E93" s="16" t="str">
        <f t="shared" ca="1" si="4"/>
        <v/>
      </c>
      <c r="F93" s="16" t="str">
        <f t="shared" si="5"/>
        <v/>
      </c>
      <c r="G93" s="9"/>
    </row>
    <row r="94" spans="1:7" x14ac:dyDescent="0.3">
      <c r="A94" s="16"/>
      <c r="B94" s="9" t="str">
        <f>IFERROR(INDEX('Employee Master'!$B$10:$B$109,MATCH(A94,'Employee Master'!$A$10:$A$109,0)),"")</f>
        <v/>
      </c>
      <c r="C94" s="9"/>
      <c r="D94" s="18"/>
      <c r="E94" s="16" t="str">
        <f t="shared" ca="1" si="4"/>
        <v/>
      </c>
      <c r="F94" s="16" t="str">
        <f t="shared" si="5"/>
        <v/>
      </c>
      <c r="G94" s="9"/>
    </row>
    <row r="95" spans="1:7" x14ac:dyDescent="0.3">
      <c r="A95" s="16"/>
      <c r="B95" s="9" t="str">
        <f>IFERROR(INDEX('Employee Master'!$B$10:$B$109,MATCH(A95,'Employee Master'!$A$10:$A$109,0)),"")</f>
        <v/>
      </c>
      <c r="C95" s="9"/>
      <c r="D95" s="18"/>
      <c r="E95" s="16" t="str">
        <f t="shared" ca="1" si="4"/>
        <v/>
      </c>
      <c r="F95" s="16" t="str">
        <f t="shared" si="5"/>
        <v/>
      </c>
      <c r="G95" s="9"/>
    </row>
    <row r="96" spans="1:7" x14ac:dyDescent="0.3">
      <c r="A96" s="16"/>
      <c r="B96" s="9" t="str">
        <f>IFERROR(INDEX('Employee Master'!$B$10:$B$109,MATCH(A96,'Employee Master'!$A$10:$A$109,0)),"")</f>
        <v/>
      </c>
      <c r="C96" s="9"/>
      <c r="D96" s="18"/>
      <c r="E96" s="16" t="str">
        <f t="shared" ca="1" si="4"/>
        <v/>
      </c>
      <c r="F96" s="16" t="str">
        <f t="shared" si="5"/>
        <v/>
      </c>
      <c r="G96" s="9"/>
    </row>
    <row r="97" spans="1:7" x14ac:dyDescent="0.3">
      <c r="A97" s="16"/>
      <c r="B97" s="9" t="str">
        <f>IFERROR(INDEX('Employee Master'!$B$10:$B$109,MATCH(A97,'Employee Master'!$A$10:$A$109,0)),"")</f>
        <v/>
      </c>
      <c r="C97" s="9"/>
      <c r="D97" s="18"/>
      <c r="E97" s="16" t="str">
        <f t="shared" ca="1" si="4"/>
        <v/>
      </c>
      <c r="F97" s="16" t="str">
        <f t="shared" si="5"/>
        <v/>
      </c>
      <c r="G97" s="9"/>
    </row>
    <row r="98" spans="1:7" x14ac:dyDescent="0.3">
      <c r="A98" s="16"/>
      <c r="B98" s="9" t="str">
        <f>IFERROR(INDEX('Employee Master'!$B$10:$B$109,MATCH(A98,'Employee Master'!$A$10:$A$109,0)),"")</f>
        <v/>
      </c>
      <c r="C98" s="9"/>
      <c r="D98" s="18"/>
      <c r="E98" s="16" t="str">
        <f t="shared" ca="1" si="4"/>
        <v/>
      </c>
      <c r="F98" s="16" t="str">
        <f t="shared" si="5"/>
        <v/>
      </c>
      <c r="G98" s="9"/>
    </row>
    <row r="99" spans="1:7" x14ac:dyDescent="0.3">
      <c r="A99" s="16"/>
      <c r="B99" s="9" t="str">
        <f>IFERROR(INDEX('Employee Master'!$B$10:$B$109,MATCH(A99,'Employee Master'!$A$10:$A$109,0)),"")</f>
        <v/>
      </c>
      <c r="C99" s="9"/>
      <c r="D99" s="18"/>
      <c r="E99" s="16" t="str">
        <f t="shared" ca="1" si="4"/>
        <v/>
      </c>
      <c r="F99" s="16" t="str">
        <f t="shared" si="5"/>
        <v/>
      </c>
      <c r="G99" s="9"/>
    </row>
    <row r="100" spans="1:7" x14ac:dyDescent="0.3">
      <c r="A100" s="16"/>
      <c r="B100" s="9" t="str">
        <f>IFERROR(INDEX('Employee Master'!$B$10:$B$109,MATCH(A100,'Employee Master'!$A$10:$A$109,0)),"")</f>
        <v/>
      </c>
      <c r="C100" s="9"/>
      <c r="D100" s="18"/>
      <c r="E100" s="16" t="str">
        <f t="shared" ca="1" si="4"/>
        <v/>
      </c>
      <c r="F100" s="16" t="str">
        <f t="shared" si="5"/>
        <v/>
      </c>
      <c r="G100" s="9"/>
    </row>
    <row r="101" spans="1:7" x14ac:dyDescent="0.3">
      <c r="A101" s="16"/>
      <c r="B101" s="9" t="str">
        <f>IFERROR(INDEX('Employee Master'!$B$10:$B$109,MATCH(A101,'Employee Master'!$A$10:$A$109,0)),"")</f>
        <v/>
      </c>
      <c r="C101" s="9"/>
      <c r="D101" s="18"/>
      <c r="E101" s="16" t="str">
        <f t="shared" ca="1" si="4"/>
        <v/>
      </c>
      <c r="F101" s="16" t="str">
        <f t="shared" si="5"/>
        <v/>
      </c>
      <c r="G101" s="9"/>
    </row>
    <row r="102" spans="1:7" x14ac:dyDescent="0.3">
      <c r="A102" s="16"/>
      <c r="B102" s="9" t="str">
        <f>IFERROR(INDEX('Employee Master'!$B$10:$B$109,MATCH(A102,'Employee Master'!$A$10:$A$109,0)),"")</f>
        <v/>
      </c>
      <c r="C102" s="9"/>
      <c r="D102" s="18"/>
      <c r="E102" s="16" t="str">
        <f t="shared" ca="1" si="4"/>
        <v/>
      </c>
      <c r="F102" s="16" t="str">
        <f t="shared" si="5"/>
        <v/>
      </c>
      <c r="G102" s="9"/>
    </row>
    <row r="103" spans="1:7" x14ac:dyDescent="0.3">
      <c r="A103" s="16"/>
      <c r="B103" s="9" t="str">
        <f>IFERROR(INDEX('Employee Master'!$B$10:$B$109,MATCH(A103,'Employee Master'!$A$10:$A$109,0)),"")</f>
        <v/>
      </c>
      <c r="C103" s="9"/>
      <c r="D103" s="18"/>
      <c r="E103" s="16" t="str">
        <f t="shared" ca="1" si="4"/>
        <v/>
      </c>
      <c r="F103" s="16" t="str">
        <f t="shared" si="5"/>
        <v/>
      </c>
      <c r="G103" s="9"/>
    </row>
    <row r="104" spans="1:7" x14ac:dyDescent="0.3">
      <c r="A104" s="16"/>
      <c r="B104" s="9" t="str">
        <f>IFERROR(INDEX('Employee Master'!$B$10:$B$109,MATCH(A104,'Employee Master'!$A$10:$A$109,0)),"")</f>
        <v/>
      </c>
      <c r="C104" s="9"/>
      <c r="D104" s="18"/>
      <c r="E104" s="16" t="str">
        <f t="shared" ca="1" si="4"/>
        <v/>
      </c>
      <c r="F104" s="16" t="str">
        <f t="shared" si="5"/>
        <v/>
      </c>
      <c r="G104" s="9"/>
    </row>
    <row r="105" spans="1:7" x14ac:dyDescent="0.3">
      <c r="A105" s="16"/>
      <c r="B105" s="9" t="str">
        <f>IFERROR(INDEX('Employee Master'!$B$10:$B$109,MATCH(A105,'Employee Master'!$A$10:$A$109,0)),"")</f>
        <v/>
      </c>
      <c r="C105" s="9"/>
      <c r="D105" s="18"/>
      <c r="E105" s="16" t="str">
        <f t="shared" ca="1" si="4"/>
        <v/>
      </c>
      <c r="F105" s="16" t="str">
        <f t="shared" si="5"/>
        <v/>
      </c>
      <c r="G105" s="9"/>
    </row>
    <row r="106" spans="1:7" x14ac:dyDescent="0.3">
      <c r="A106" s="16"/>
      <c r="B106" s="9" t="str">
        <f>IFERROR(INDEX('Employee Master'!$B$10:$B$109,MATCH(A106,'Employee Master'!$A$10:$A$109,0)),"")</f>
        <v/>
      </c>
      <c r="C106" s="9"/>
      <c r="D106" s="18"/>
      <c r="E106" s="16" t="str">
        <f t="shared" ref="E106:E109" ca="1" si="6">IF(D106="","",D106-TODAY())</f>
        <v/>
      </c>
      <c r="F106" s="16" t="str">
        <f t="shared" ref="F106:F109" si="7">IF(AND(A106="",C106=""),"",IF(D106="","Missing",IF(E106&lt;0,"Expired",IF(E106&lt;=7,"Due in 7 Days",IF(E106&lt;=30,"Due in 30 Days","Valid")))))</f>
        <v/>
      </c>
      <c r="G106" s="9"/>
    </row>
    <row r="107" spans="1:7" x14ac:dyDescent="0.3">
      <c r="A107" s="16"/>
      <c r="B107" s="9" t="str">
        <f>IFERROR(INDEX('Employee Master'!$B$10:$B$109,MATCH(A107,'Employee Master'!$A$10:$A$109,0)),"")</f>
        <v/>
      </c>
      <c r="C107" s="9"/>
      <c r="D107" s="18"/>
      <c r="E107" s="16" t="str">
        <f t="shared" ca="1" si="6"/>
        <v/>
      </c>
      <c r="F107" s="16" t="str">
        <f t="shared" si="7"/>
        <v/>
      </c>
      <c r="G107" s="9"/>
    </row>
    <row r="108" spans="1:7" x14ac:dyDescent="0.3">
      <c r="A108" s="16"/>
      <c r="B108" s="9" t="str">
        <f>IFERROR(INDEX('Employee Master'!$B$10:$B$109,MATCH(A108,'Employee Master'!$A$10:$A$109,0)),"")</f>
        <v/>
      </c>
      <c r="C108" s="9"/>
      <c r="D108" s="18"/>
      <c r="E108" s="16" t="str">
        <f t="shared" ca="1" si="6"/>
        <v/>
      </c>
      <c r="F108" s="16" t="str">
        <f t="shared" si="7"/>
        <v/>
      </c>
      <c r="G108" s="9"/>
    </row>
    <row r="109" spans="1:7" x14ac:dyDescent="0.3">
      <c r="A109" s="16"/>
      <c r="B109" s="9" t="str">
        <f>IFERROR(INDEX('Employee Master'!$B$10:$B$109,MATCH(A109,'Employee Master'!$A$10:$A$109,0)),"")</f>
        <v/>
      </c>
      <c r="C109" s="9"/>
      <c r="D109" s="18"/>
      <c r="E109" s="16" t="str">
        <f t="shared" ca="1" si="6"/>
        <v/>
      </c>
      <c r="F109" s="16" t="str">
        <f t="shared" si="7"/>
        <v/>
      </c>
      <c r="G109" s="9"/>
    </row>
  </sheetData>
  <mergeCells count="14">
    <mergeCell ref="B6:C6"/>
    <mergeCell ref="D6:E6"/>
    <mergeCell ref="F6:G6"/>
    <mergeCell ref="H6:I6"/>
    <mergeCell ref="B7:C7"/>
    <mergeCell ref="D7:E7"/>
    <mergeCell ref="F7:G7"/>
    <mergeCell ref="H7:I7"/>
    <mergeCell ref="A1:I1"/>
    <mergeCell ref="A2:I2"/>
    <mergeCell ref="B5:C5"/>
    <mergeCell ref="D5:E5"/>
    <mergeCell ref="F5:G5"/>
    <mergeCell ref="H5:I5"/>
  </mergeCells>
  <conditionalFormatting sqref="A10:G109">
    <cfRule type="expression" dxfId="8" priority="2">
      <formula>MOD(ROW(),2)=0</formula>
    </cfRule>
  </conditionalFormatting>
  <conditionalFormatting sqref="F10:F109">
    <cfRule type="cellIs" dxfId="7" priority="3" operator="equal">
      <formula>"Expired"</formula>
    </cfRule>
    <cfRule type="cellIs" dxfId="6" priority="4" operator="equal">
      <formula>"Due in 7 Days"</formula>
    </cfRule>
    <cfRule type="cellIs" dxfId="5" priority="5" operator="equal">
      <formula>"Due in 30 Days"</formula>
    </cfRule>
    <cfRule type="cellIs" dxfId="4" priority="6" operator="equal">
      <formula>"Valid"</formula>
    </cfRule>
    <cfRule type="cellIs" dxfId="3" priority="7" operator="equal">
      <formula>"Missing"</formula>
    </cfRule>
  </conditionalFormatting>
  <hyperlinks>
    <hyperlink ref="A3" location="'HR Command Center'!A1" display=" HOME " xr:uid="{00000000-0004-0000-0700-000000000000}"/>
    <hyperlink ref="B3" location="'Employee Master'!A1" display=" PEOPLE " xr:uid="{00000000-0004-0000-0700-000001000000}"/>
    <hyperlink ref="C3" location="'Attendance'!A1" display=" ATTEND. " xr:uid="{00000000-0004-0000-0700-000002000000}"/>
    <hyperlink ref="D3" location="'Leave Tracker'!A1" display=" LEAVE " xr:uid="{00000000-0004-0000-0700-000003000000}"/>
    <hyperlink ref="E3" location="'Payroll'!A1" display=" PAYROLL " xr:uid="{00000000-0004-0000-0700-000004000000}"/>
    <hyperlink ref="F3" location="'Document Tracker'!A1" display=" DOCS " xr:uid="{00000000-0004-0000-0700-000005000000}"/>
    <hyperlink ref="G3" location="'Compliance Center'!A1" display=" COMPLY " xr:uid="{00000000-0004-0000-0700-000006000000}"/>
    <hyperlink ref="H3" location="'Analytics &amp; Reports'!A1" display=" ANALYTICS " xr:uid="{00000000-0004-0000-0700-000007000000}"/>
    <hyperlink ref="I3" location="'Management Dashboard'!A1" display=" MGMT " xr:uid="{00000000-0004-0000-0700-00000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211"/>
  <sheetViews>
    <sheetView showGridLines="0" zoomScaleNormal="100" workbookViewId="0">
      <pane xSplit="2" ySplit="9" topLeftCell="C47" activePane="bottomRight" state="frozen"/>
      <selection pane="topRight" activeCell="C1" sqref="C1"/>
      <selection pane="bottomLeft" activeCell="A10" sqref="A10"/>
      <selection pane="bottomRight" activeCell="C54" sqref="C54"/>
    </sheetView>
  </sheetViews>
  <sheetFormatPr defaultColWidth="8.6640625" defaultRowHeight="14.4" x14ac:dyDescent="0.3"/>
  <cols>
    <col min="1" max="1" width="9" customWidth="1"/>
    <col min="2" max="2" width="11" customWidth="1"/>
    <col min="3" max="3" width="20" customWidth="1"/>
    <col min="4" max="4" width="18" customWidth="1"/>
    <col min="5" max="5" width="10" customWidth="1"/>
    <col min="6" max="7" width="11" customWidth="1"/>
    <col min="8" max="8" width="9" customWidth="1"/>
    <col min="9" max="9" width="12" customWidth="1"/>
    <col min="10" max="10" width="11" customWidth="1"/>
    <col min="11" max="11" width="12" customWidth="1"/>
    <col min="12" max="13" width="9" customWidth="1"/>
    <col min="14" max="14" width="13" customWidth="1"/>
    <col min="15" max="15" width="12" customWidth="1"/>
  </cols>
  <sheetData>
    <row r="1" spans="1:35" ht="33.75" customHeight="1" x14ac:dyDescent="0.3">
      <c r="A1" s="26" t="s">
        <v>256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 ht="15.75" customHeight="1" x14ac:dyDescent="0.3">
      <c r="A2" s="27" t="s">
        <v>257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ht="19.5" customHeight="1" x14ac:dyDescent="0.3">
      <c r="A3" s="2" t="s">
        <v>2</v>
      </c>
      <c r="B3" s="2" t="s">
        <v>3</v>
      </c>
      <c r="C3" s="2" t="s">
        <v>4</v>
      </c>
      <c r="D3" s="2" t="s">
        <v>5</v>
      </c>
      <c r="E3" s="1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3"/>
      <c r="K3" s="3"/>
      <c r="L3" s="3"/>
      <c r="M3" s="3"/>
      <c r="N3" s="3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ht="13.5" customHeight="1" x14ac:dyDescent="0.3">
      <c r="A5" s="4"/>
      <c r="B5" s="96" t="s">
        <v>258</v>
      </c>
      <c r="C5" s="97"/>
      <c r="D5" s="4"/>
      <c r="E5" s="29" t="s">
        <v>259</v>
      </c>
      <c r="F5" s="29"/>
      <c r="G5" s="29"/>
      <c r="H5" s="4"/>
      <c r="I5" s="105" t="s">
        <v>224</v>
      </c>
      <c r="J5" s="106"/>
      <c r="K5" s="107"/>
      <c r="L5" s="4"/>
      <c r="M5" s="45" t="s">
        <v>260</v>
      </c>
      <c r="N5" s="98"/>
      <c r="O5" s="99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5" ht="25.5" customHeight="1" x14ac:dyDescent="0.3">
      <c r="A6" s="4"/>
      <c r="B6" s="92">
        <f>SUM($F$10:$F$209)</f>
        <v>826700</v>
      </c>
      <c r="C6" s="93"/>
      <c r="D6" s="4"/>
      <c r="E6" s="48">
        <f>SUM($O$10:$O$209)</f>
        <v>767265.71833333327</v>
      </c>
      <c r="F6" s="48"/>
      <c r="G6" s="48"/>
      <c r="H6" s="4"/>
      <c r="I6" s="92">
        <f>SUM($J$10:$J$209)</f>
        <v>11280</v>
      </c>
      <c r="J6" s="104"/>
      <c r="K6" s="104"/>
      <c r="L6" s="4"/>
      <c r="M6" s="48">
        <f>SUM($I$10:$I$209)+SUM($L$10:$L$209)+SUM($M$10:$M$209)</f>
        <v>70714.281666666662</v>
      </c>
      <c r="N6" s="100"/>
      <c r="O6" s="101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5" ht="13.5" customHeight="1" x14ac:dyDescent="0.3">
      <c r="A7" s="4"/>
      <c r="B7" s="94" t="str">
        <f>"Rs. "&amp;TEXT(SUM($F$10:$F$209)/100000,"0.0")&amp;" L"</f>
        <v>Rs. 8.3 L</v>
      </c>
      <c r="C7" s="95"/>
      <c r="D7" s="4"/>
      <c r="E7" s="34" t="str">
        <f>"Rs. "&amp;TEXT(SUM($O$10:$O$209)/100000,"0.0")&amp;" L"</f>
        <v>Rs. 7.7 L</v>
      </c>
      <c r="F7" s="34"/>
      <c r="G7" s="34"/>
      <c r="H7" s="4"/>
      <c r="I7" s="92"/>
      <c r="J7" s="104"/>
      <c r="K7" s="104"/>
      <c r="L7" s="4"/>
      <c r="M7" s="46"/>
      <c r="N7" s="102"/>
      <c r="O7" s="103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5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ht="30" customHeight="1" x14ac:dyDescent="0.3">
      <c r="A9" s="15" t="s">
        <v>35</v>
      </c>
      <c r="B9" s="15" t="s">
        <v>122</v>
      </c>
      <c r="C9" s="15" t="s">
        <v>123</v>
      </c>
      <c r="D9" s="15" t="s">
        <v>129</v>
      </c>
      <c r="E9" s="15" t="s">
        <v>261</v>
      </c>
      <c r="F9" s="15" t="s">
        <v>262</v>
      </c>
      <c r="G9" s="15" t="s">
        <v>263</v>
      </c>
      <c r="H9" s="15" t="s">
        <v>264</v>
      </c>
      <c r="I9" s="15" t="s">
        <v>265</v>
      </c>
      <c r="J9" s="15" t="s">
        <v>228</v>
      </c>
      <c r="K9" s="15" t="s">
        <v>266</v>
      </c>
      <c r="L9" s="15" t="s">
        <v>267</v>
      </c>
      <c r="M9" s="15" t="s">
        <v>268</v>
      </c>
      <c r="N9" s="15" t="s">
        <v>269</v>
      </c>
      <c r="O9" s="15" t="s">
        <v>270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3">
      <c r="A10" s="16" t="s">
        <v>49</v>
      </c>
      <c r="B10" s="16" t="s">
        <v>287</v>
      </c>
      <c r="C10" s="9" t="str">
        <f>IFERROR(INDEX('Employee Master'!$B$10:$B$109,MATCH(B10,'Employee Master'!$A$10:$A$109,0)),"")</f>
        <v>Murugesan P</v>
      </c>
      <c r="D10" s="9" t="str">
        <f>IFERROR(INDEX('Employee Master'!$H$10:$H$109,MATCH(B10,'Employee Master'!$A$10:$A$109,0)),"")</f>
        <v>Human Resources</v>
      </c>
      <c r="E10" s="14">
        <f>IFERROR(INDEX('Employee Master'!$Q$10:$Q$109,MATCH(B10,'Employee Master'!$A$10:$A$109,0)),0)</f>
        <v>15656</v>
      </c>
      <c r="F10" s="14">
        <f>IFERROR(INDEX('Employee Master'!$R$10:$R$109,MATCH(B10,'Employee Master'!$A$10:$A$109,0)),0)</f>
        <v>21150</v>
      </c>
      <c r="G10" s="16">
        <v>26</v>
      </c>
      <c r="H10" s="16">
        <v>0</v>
      </c>
      <c r="I10" s="14">
        <f t="shared" ref="I10:I41" si="0">IFERROR(F10/30*H10,0)</f>
        <v>0</v>
      </c>
      <c r="J10" s="14">
        <f>SUMIFS('OT Tracker'!$G$10:$G$209,'OT Tracker'!$B$10:$B$209,B10)</f>
        <v>180</v>
      </c>
      <c r="K10" s="14">
        <v>0</v>
      </c>
      <c r="L10" s="14">
        <f>IFERROR(E10*Lists!$L$13*--(INDEX('Employee Master'!$S$10:$S$109,MATCH(B10,'Employee Master'!$A$10:$A$109,0))="Yes"),0)</f>
        <v>1878.72</v>
      </c>
      <c r="M10" s="14">
        <f>IFERROR(F10*Lists!$L$14*--(INDEX('Employee Master'!$T$10:$T$109,MATCH(B10,'Employee Master'!$A$10:$A$109,0))="Yes"),0)</f>
        <v>0</v>
      </c>
      <c r="N10" s="14">
        <f t="shared" ref="N10:N41" si="1">I10+K10+L10+M10</f>
        <v>1878.72</v>
      </c>
      <c r="O10" s="14">
        <f t="shared" ref="O10:O41" si="2">F10+J10-N10</f>
        <v>19451.28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3">
      <c r="A11" s="16" t="s">
        <v>49</v>
      </c>
      <c r="B11" s="16" t="s">
        <v>288</v>
      </c>
      <c r="C11" s="9" t="str">
        <f>IFERROR(INDEX('Employee Master'!$B$10:$B$109,MATCH(B11,'Employee Master'!$A$10:$A$109,0)),"")</f>
        <v>Vijay K</v>
      </c>
      <c r="D11" s="9" t="str">
        <f>IFERROR(INDEX('Employee Master'!$H$10:$H$109,MATCH(B11,'Employee Master'!$A$10:$A$109,0)),"")</f>
        <v>Finance &amp; Accounts</v>
      </c>
      <c r="E11" s="14">
        <f>IFERROR(INDEX('Employee Master'!$Q$10:$Q$109,MATCH(B11,'Employee Master'!$A$10:$A$109,0)),0)</f>
        <v>23632</v>
      </c>
      <c r="F11" s="14">
        <f>IFERROR(INDEX('Employee Master'!$R$10:$R$109,MATCH(B11,'Employee Master'!$A$10:$A$109,0)),0)</f>
        <v>31900</v>
      </c>
      <c r="G11" s="16">
        <v>23</v>
      </c>
      <c r="H11" s="16">
        <v>0</v>
      </c>
      <c r="I11" s="14">
        <f t="shared" si="0"/>
        <v>0</v>
      </c>
      <c r="J11" s="14">
        <f>SUMIFS('OT Tracker'!$G$10:$G$209,'OT Tracker'!$B$10:$B$209,B11)</f>
        <v>480</v>
      </c>
      <c r="K11" s="14">
        <v>0</v>
      </c>
      <c r="L11" s="14">
        <f>IFERROR(E11*Lists!$L$13*--(INDEX('Employee Master'!$S$10:$S$109,MATCH(B11,'Employee Master'!$A$10:$A$109,0))="Yes"),0)</f>
        <v>2835.8399999999997</v>
      </c>
      <c r="M11" s="14">
        <f>IFERROR(F11*Lists!$L$14*--(INDEX('Employee Master'!$T$10:$T$109,MATCH(B11,'Employee Master'!$A$10:$A$109,0))="Yes"),0)</f>
        <v>0</v>
      </c>
      <c r="N11" s="14">
        <f t="shared" si="1"/>
        <v>2835.8399999999997</v>
      </c>
      <c r="O11" s="14">
        <f t="shared" si="2"/>
        <v>29544.16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3">
      <c r="A12" s="16" t="s">
        <v>49</v>
      </c>
      <c r="B12" s="16" t="s">
        <v>289</v>
      </c>
      <c r="C12" s="9" t="str">
        <f>IFERROR(INDEX('Employee Master'!$B$10:$B$109,MATCH(B12,'Employee Master'!$A$10:$A$109,0)),"")</f>
        <v>Murugesan P</v>
      </c>
      <c r="D12" s="9" t="str">
        <f>IFERROR(INDEX('Employee Master'!$H$10:$H$109,MATCH(B12,'Employee Master'!$A$10:$A$109,0)),"")</f>
        <v>Administration</v>
      </c>
      <c r="E12" s="14">
        <f>IFERROR(INDEX('Employee Master'!$Q$10:$Q$109,MATCH(B12,'Employee Master'!$A$10:$A$109,0)),0)</f>
        <v>12590</v>
      </c>
      <c r="F12" s="14">
        <f>IFERROR(INDEX('Employee Master'!$R$10:$R$109,MATCH(B12,'Employee Master'!$A$10:$A$109,0)),0)</f>
        <v>17000</v>
      </c>
      <c r="G12" s="16">
        <v>26</v>
      </c>
      <c r="H12" s="16">
        <v>0</v>
      </c>
      <c r="I12" s="14">
        <f t="shared" si="0"/>
        <v>0</v>
      </c>
      <c r="J12" s="14">
        <f>SUMIFS('OT Tracker'!$G$10:$G$209,'OT Tracker'!$B$10:$B$209,B12)</f>
        <v>480</v>
      </c>
      <c r="K12" s="14">
        <v>0</v>
      </c>
      <c r="L12" s="14">
        <f>IFERROR(E12*Lists!$L$13*--(INDEX('Employee Master'!$S$10:$S$109,MATCH(B12,'Employee Master'!$A$10:$A$109,0))="Yes"),0)</f>
        <v>1510.8</v>
      </c>
      <c r="M12" s="14">
        <f>IFERROR(F12*Lists!$L$14*--(INDEX('Employee Master'!$T$10:$T$109,MATCH(B12,'Employee Master'!$A$10:$A$109,0))="Yes"),0)</f>
        <v>127.5</v>
      </c>
      <c r="N12" s="14">
        <f t="shared" si="1"/>
        <v>1638.3</v>
      </c>
      <c r="O12" s="14">
        <f t="shared" si="2"/>
        <v>15841.7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3">
      <c r="A13" s="16" t="s">
        <v>49</v>
      </c>
      <c r="B13" s="16" t="s">
        <v>290</v>
      </c>
      <c r="C13" s="9" t="str">
        <f>IFERROR(INDEX('Employee Master'!$B$10:$B$109,MATCH(B13,'Employee Master'!$A$10:$A$109,0)),"")</f>
        <v>Murugesan S</v>
      </c>
      <c r="D13" s="9" t="str">
        <f>IFERROR(INDEX('Employee Master'!$H$10:$H$109,MATCH(B13,'Employee Master'!$A$10:$A$109,0)),"")</f>
        <v>Operations</v>
      </c>
      <c r="E13" s="14">
        <f>IFERROR(INDEX('Employee Master'!$Q$10:$Q$109,MATCH(B13,'Employee Master'!$A$10:$A$109,0)),0)</f>
        <v>13039</v>
      </c>
      <c r="F13" s="14">
        <f>IFERROR(INDEX('Employee Master'!$R$10:$R$109,MATCH(B13,'Employee Master'!$A$10:$A$109,0)),0)</f>
        <v>17600</v>
      </c>
      <c r="G13" s="16">
        <v>23</v>
      </c>
      <c r="H13" s="16">
        <v>0</v>
      </c>
      <c r="I13" s="14">
        <f t="shared" si="0"/>
        <v>0</v>
      </c>
      <c r="J13" s="14">
        <f>SUMIFS('OT Tracker'!$G$10:$G$209,'OT Tracker'!$B$10:$B$209,B13)</f>
        <v>300</v>
      </c>
      <c r="K13" s="14">
        <v>0</v>
      </c>
      <c r="L13" s="14">
        <f>IFERROR(E13*Lists!$L$13*--(INDEX('Employee Master'!$S$10:$S$109,MATCH(B13,'Employee Master'!$A$10:$A$109,0))="Yes"),0)</f>
        <v>1564.6799999999998</v>
      </c>
      <c r="M13" s="14">
        <f>IFERROR(F13*Lists!$L$14*--(INDEX('Employee Master'!$T$10:$T$109,MATCH(B13,'Employee Master'!$A$10:$A$109,0))="Yes"),0)</f>
        <v>132</v>
      </c>
      <c r="N13" s="14">
        <f t="shared" si="1"/>
        <v>1696.6799999999998</v>
      </c>
      <c r="O13" s="14">
        <f t="shared" si="2"/>
        <v>16203.32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3">
      <c r="A14" s="16" t="s">
        <v>49</v>
      </c>
      <c r="B14" s="16" t="s">
        <v>291</v>
      </c>
      <c r="C14" s="9" t="str">
        <f>IFERROR(INDEX('Employee Master'!$B$10:$B$109,MATCH(B14,'Employee Master'!$A$10:$A$109,0)),"")</f>
        <v>Murugesan</v>
      </c>
      <c r="D14" s="9" t="str">
        <f>IFERROR(INDEX('Employee Master'!$H$10:$H$109,MATCH(B14,'Employee Master'!$A$10:$A$109,0)),"")</f>
        <v>Sales &amp; Marketing</v>
      </c>
      <c r="E14" s="14">
        <f>IFERROR(INDEX('Employee Master'!$Q$10:$Q$109,MATCH(B14,'Employee Master'!$A$10:$A$109,0)),0)</f>
        <v>14073</v>
      </c>
      <c r="F14" s="14">
        <f>IFERROR(INDEX('Employee Master'!$R$10:$R$109,MATCH(B14,'Employee Master'!$A$10:$A$109,0)),0)</f>
        <v>19000</v>
      </c>
      <c r="G14" s="16">
        <v>22</v>
      </c>
      <c r="H14" s="16">
        <v>0</v>
      </c>
      <c r="I14" s="14">
        <f t="shared" si="0"/>
        <v>0</v>
      </c>
      <c r="J14" s="14">
        <f>SUMIFS('OT Tracker'!$G$10:$G$209,'OT Tracker'!$B$10:$B$209,B14)</f>
        <v>180</v>
      </c>
      <c r="K14" s="14">
        <v>0</v>
      </c>
      <c r="L14" s="14">
        <f>IFERROR(E14*Lists!$L$13*--(INDEX('Employee Master'!$S$10:$S$109,MATCH(B14,'Employee Master'!$A$10:$A$109,0))="Yes"),0)</f>
        <v>1688.76</v>
      </c>
      <c r="M14" s="14">
        <f>IFERROR(F14*Lists!$L$14*--(INDEX('Employee Master'!$T$10:$T$109,MATCH(B14,'Employee Master'!$A$10:$A$109,0))="Yes"),0)</f>
        <v>142.5</v>
      </c>
      <c r="N14" s="14">
        <f t="shared" si="1"/>
        <v>1831.26</v>
      </c>
      <c r="O14" s="14">
        <f t="shared" si="2"/>
        <v>17348.740000000002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3">
      <c r="A15" s="16" t="s">
        <v>49</v>
      </c>
      <c r="B15" s="16" t="s">
        <v>292</v>
      </c>
      <c r="C15" s="9" t="str">
        <f>IFERROR(INDEX('Employee Master'!$B$10:$B$109,MATCH(B15,'Employee Master'!$A$10:$A$109,0)),"")</f>
        <v>Elango K</v>
      </c>
      <c r="D15" s="9" t="str">
        <f>IFERROR(INDEX('Employee Master'!$H$10:$H$109,MATCH(B15,'Employee Master'!$A$10:$A$109,0)),"")</f>
        <v>IT &amp; Systems</v>
      </c>
      <c r="E15" s="14">
        <f>IFERROR(INDEX('Employee Master'!$Q$10:$Q$109,MATCH(B15,'Employee Master'!$A$10:$A$109,0)),0)</f>
        <v>26705</v>
      </c>
      <c r="F15" s="14">
        <f>IFERROR(INDEX('Employee Master'!$R$10:$R$109,MATCH(B15,'Employee Master'!$A$10:$A$109,0)),0)</f>
        <v>36050</v>
      </c>
      <c r="G15" s="16">
        <v>26</v>
      </c>
      <c r="H15" s="16">
        <v>2</v>
      </c>
      <c r="I15" s="14">
        <f t="shared" si="0"/>
        <v>2403.3333333333335</v>
      </c>
      <c r="J15" s="14">
        <f>SUMIFS('OT Tracker'!$G$10:$G$209,'OT Tracker'!$B$10:$B$209,B15)</f>
        <v>120</v>
      </c>
      <c r="K15" s="14">
        <v>0</v>
      </c>
      <c r="L15" s="14">
        <f>IFERROR(E15*Lists!$L$13*--(INDEX('Employee Master'!$S$10:$S$109,MATCH(B15,'Employee Master'!$A$10:$A$109,0))="Yes"),0)</f>
        <v>3204.6</v>
      </c>
      <c r="M15" s="14">
        <f>IFERROR(F15*Lists!$L$14*--(INDEX('Employee Master'!$T$10:$T$109,MATCH(B15,'Employee Master'!$A$10:$A$109,0))="Yes"),0)</f>
        <v>0</v>
      </c>
      <c r="N15" s="14">
        <f t="shared" si="1"/>
        <v>5607.9333333333334</v>
      </c>
      <c r="O15" s="14">
        <f t="shared" si="2"/>
        <v>30562.066666666666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3">
      <c r="A16" s="16" t="s">
        <v>49</v>
      </c>
      <c r="B16" s="16" t="s">
        <v>293</v>
      </c>
      <c r="C16" s="9" t="str">
        <f>IFERROR(INDEX('Employee Master'!$B$10:$B$109,MATCH(B16,'Employee Master'!$A$10:$A$109,0)),"")</f>
        <v>Murugan</v>
      </c>
      <c r="D16" s="9" t="str">
        <f>IFERROR(INDEX('Employee Master'!$H$10:$H$109,MATCH(B16,'Employee Master'!$A$10:$A$109,0)),"")</f>
        <v>Procurement</v>
      </c>
      <c r="E16" s="14">
        <f>IFERROR(INDEX('Employee Master'!$Q$10:$Q$109,MATCH(B16,'Employee Master'!$A$10:$A$109,0)),0)</f>
        <v>14925</v>
      </c>
      <c r="F16" s="14">
        <f>IFERROR(INDEX('Employee Master'!$R$10:$R$109,MATCH(B16,'Employee Master'!$A$10:$A$109,0)),0)</f>
        <v>20150</v>
      </c>
      <c r="G16" s="16">
        <v>26</v>
      </c>
      <c r="H16" s="16">
        <v>0</v>
      </c>
      <c r="I16" s="14">
        <f t="shared" si="0"/>
        <v>0</v>
      </c>
      <c r="J16" s="14">
        <f>SUMIFS('OT Tracker'!$G$10:$G$209,'OT Tracker'!$B$10:$B$209,B16)</f>
        <v>480</v>
      </c>
      <c r="K16" s="14">
        <v>0</v>
      </c>
      <c r="L16" s="14">
        <f>IFERROR(E16*Lists!$L$13*--(INDEX('Employee Master'!$S$10:$S$109,MATCH(B16,'Employee Master'!$A$10:$A$109,0))="Yes"),0)</f>
        <v>1791</v>
      </c>
      <c r="M16" s="14">
        <f>IFERROR(F16*Lists!$L$14*--(INDEX('Employee Master'!$T$10:$T$109,MATCH(B16,'Employee Master'!$A$10:$A$109,0))="Yes"),0)</f>
        <v>151.125</v>
      </c>
      <c r="N16" s="14">
        <f t="shared" si="1"/>
        <v>1942.125</v>
      </c>
      <c r="O16" s="14">
        <f t="shared" si="2"/>
        <v>18687.875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3">
      <c r="A17" s="16" t="s">
        <v>49</v>
      </c>
      <c r="B17" s="16" t="s">
        <v>294</v>
      </c>
      <c r="C17" s="9" t="str">
        <f>IFERROR(INDEX('Employee Master'!$B$10:$B$109,MATCH(B17,'Employee Master'!$A$10:$A$109,0)),"")</f>
        <v>Bala Murugan</v>
      </c>
      <c r="D17" s="9" t="str">
        <f>IFERROR(INDEX('Employee Master'!$H$10:$H$109,MATCH(B17,'Employee Master'!$A$10:$A$109,0)),"")</f>
        <v>Quality Control</v>
      </c>
      <c r="E17" s="14">
        <f>IFERROR(INDEX('Employee Master'!$Q$10:$Q$109,MATCH(B17,'Employee Master'!$A$10:$A$109,0)),0)</f>
        <v>21570</v>
      </c>
      <c r="F17" s="14">
        <f>IFERROR(INDEX('Employee Master'!$R$10:$R$109,MATCH(B17,'Employee Master'!$A$10:$A$109,0)),0)</f>
        <v>29100</v>
      </c>
      <c r="G17" s="16">
        <v>23</v>
      </c>
      <c r="H17" s="16">
        <v>1</v>
      </c>
      <c r="I17" s="14">
        <f t="shared" si="0"/>
        <v>970</v>
      </c>
      <c r="J17" s="14">
        <f>SUMIFS('OT Tracker'!$G$10:$G$209,'OT Tracker'!$B$10:$B$209,B17)</f>
        <v>360</v>
      </c>
      <c r="K17" s="14">
        <v>0</v>
      </c>
      <c r="L17" s="14">
        <f>IFERROR(E17*Lists!$L$13*--(INDEX('Employee Master'!$S$10:$S$109,MATCH(B17,'Employee Master'!$A$10:$A$109,0))="Yes"),0)</f>
        <v>2588.4</v>
      </c>
      <c r="M17" s="14">
        <f>IFERROR(F17*Lists!$L$14*--(INDEX('Employee Master'!$T$10:$T$109,MATCH(B17,'Employee Master'!$A$10:$A$109,0))="Yes"),0)</f>
        <v>0</v>
      </c>
      <c r="N17" s="14">
        <f t="shared" si="1"/>
        <v>3558.4</v>
      </c>
      <c r="O17" s="14">
        <f t="shared" si="2"/>
        <v>25901.599999999999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3">
      <c r="A18" s="16" t="s">
        <v>49</v>
      </c>
      <c r="B18" s="16" t="s">
        <v>295</v>
      </c>
      <c r="C18" s="9" t="str">
        <f>IFERROR(INDEX('Employee Master'!$B$10:$B$109,MATCH(B18,'Employee Master'!$A$10:$A$109,0)),"")</f>
        <v>Murugesan V</v>
      </c>
      <c r="D18" s="9" t="str">
        <f>IFERROR(INDEX('Employee Master'!$H$10:$H$109,MATCH(B18,'Employee Master'!$A$10:$A$109,0)),"")</f>
        <v>Maintenance</v>
      </c>
      <c r="E18" s="14">
        <f>IFERROR(INDEX('Employee Master'!$Q$10:$Q$109,MATCH(B18,'Employee Master'!$A$10:$A$109,0)),0)</f>
        <v>19532</v>
      </c>
      <c r="F18" s="14">
        <f>IFERROR(INDEX('Employee Master'!$R$10:$R$109,MATCH(B18,'Employee Master'!$A$10:$A$109,0)),0)</f>
        <v>26350</v>
      </c>
      <c r="G18" s="16">
        <v>25</v>
      </c>
      <c r="H18" s="16">
        <v>0</v>
      </c>
      <c r="I18" s="14">
        <f t="shared" si="0"/>
        <v>0</v>
      </c>
      <c r="J18" s="14">
        <f>SUMIFS('OT Tracker'!$G$10:$G$209,'OT Tracker'!$B$10:$B$209,B18)</f>
        <v>180</v>
      </c>
      <c r="K18" s="14">
        <v>0</v>
      </c>
      <c r="L18" s="14">
        <f>IFERROR(E18*Lists!$L$13*--(INDEX('Employee Master'!$S$10:$S$109,MATCH(B18,'Employee Master'!$A$10:$A$109,0))="Yes"),0)</f>
        <v>2343.8399999999997</v>
      </c>
      <c r="M18" s="14">
        <f>IFERROR(F18*Lists!$L$14*--(INDEX('Employee Master'!$T$10:$T$109,MATCH(B18,'Employee Master'!$A$10:$A$109,0))="Yes"),0)</f>
        <v>0</v>
      </c>
      <c r="N18" s="14">
        <f t="shared" si="1"/>
        <v>2343.8399999999997</v>
      </c>
      <c r="O18" s="14">
        <f t="shared" si="2"/>
        <v>24186.16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3">
      <c r="A19" s="16" t="s">
        <v>49</v>
      </c>
      <c r="B19" s="16" t="s">
        <v>296</v>
      </c>
      <c r="C19" s="9" t="str">
        <f>IFERROR(INDEX('Employee Master'!$B$10:$B$109,MATCH(B19,'Employee Master'!$A$10:$A$109,0)),"")</f>
        <v>Elango P</v>
      </c>
      <c r="D19" s="9" t="str">
        <f>IFERROR(INDEX('Employee Master'!$H$10:$H$109,MATCH(B19,'Employee Master'!$A$10:$A$109,0)),"")</f>
        <v>Customer Support</v>
      </c>
      <c r="E19" s="14">
        <f>IFERROR(INDEX('Employee Master'!$Q$10:$Q$109,MATCH(B19,'Employee Master'!$A$10:$A$109,0)),0)</f>
        <v>19959</v>
      </c>
      <c r="F19" s="14">
        <f>IFERROR(INDEX('Employee Master'!$R$10:$R$109,MATCH(B19,'Employee Master'!$A$10:$A$109,0)),0)</f>
        <v>26950</v>
      </c>
      <c r="G19" s="16">
        <v>26</v>
      </c>
      <c r="H19" s="16">
        <v>0</v>
      </c>
      <c r="I19" s="14">
        <f t="shared" si="0"/>
        <v>0</v>
      </c>
      <c r="J19" s="14">
        <f>SUMIFS('OT Tracker'!$G$10:$G$209,'OT Tracker'!$B$10:$B$209,B19)</f>
        <v>360</v>
      </c>
      <c r="K19" s="14">
        <v>0</v>
      </c>
      <c r="L19" s="14">
        <f>IFERROR(E19*Lists!$L$13*--(INDEX('Employee Master'!$S$10:$S$109,MATCH(B19,'Employee Master'!$A$10:$A$109,0))="Yes"),0)</f>
        <v>2395.08</v>
      </c>
      <c r="M19" s="14">
        <f>IFERROR(F19*Lists!$L$14*--(INDEX('Employee Master'!$T$10:$T$109,MATCH(B19,'Employee Master'!$A$10:$A$109,0))="Yes"),0)</f>
        <v>0</v>
      </c>
      <c r="N19" s="14">
        <f t="shared" si="1"/>
        <v>2395.08</v>
      </c>
      <c r="O19" s="14">
        <f t="shared" si="2"/>
        <v>24914.92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3">
      <c r="A20" s="16" t="s">
        <v>49</v>
      </c>
      <c r="B20" s="16" t="s">
        <v>297</v>
      </c>
      <c r="C20" s="9" t="str">
        <f>IFERROR(INDEX('Employee Master'!$B$10:$B$109,MATCH(B20,'Employee Master'!$A$10:$A$109,0)),"")</f>
        <v>Senthil Kumar K</v>
      </c>
      <c r="D20" s="9" t="str">
        <f>IFERROR(INDEX('Employee Master'!$H$10:$H$109,MATCH(B20,'Employee Master'!$A$10:$A$109,0)),"")</f>
        <v>Human Resources</v>
      </c>
      <c r="E20" s="14">
        <f>IFERROR(INDEX('Employee Master'!$Q$10:$Q$109,MATCH(B20,'Employee Master'!$A$10:$A$109,0)),0)</f>
        <v>15179</v>
      </c>
      <c r="F20" s="14">
        <f>IFERROR(INDEX('Employee Master'!$R$10:$R$109,MATCH(B20,'Employee Master'!$A$10:$A$109,0)),0)</f>
        <v>20500</v>
      </c>
      <c r="G20" s="16">
        <v>23</v>
      </c>
      <c r="H20" s="16">
        <v>0</v>
      </c>
      <c r="I20" s="14">
        <f t="shared" si="0"/>
        <v>0</v>
      </c>
      <c r="J20" s="14">
        <f>SUMIFS('OT Tracker'!$G$10:$G$209,'OT Tracker'!$B$10:$B$209,B20)</f>
        <v>360</v>
      </c>
      <c r="K20" s="14">
        <v>0</v>
      </c>
      <c r="L20" s="14">
        <f>IFERROR(E20*Lists!$L$13*--(INDEX('Employee Master'!$S$10:$S$109,MATCH(B20,'Employee Master'!$A$10:$A$109,0))="Yes"),0)</f>
        <v>1821.48</v>
      </c>
      <c r="M20" s="14">
        <f>IFERROR(F20*Lists!$L$14*--(INDEX('Employee Master'!$T$10:$T$109,MATCH(B20,'Employee Master'!$A$10:$A$109,0))="Yes"),0)</f>
        <v>153.75</v>
      </c>
      <c r="N20" s="14">
        <f t="shared" si="1"/>
        <v>1975.23</v>
      </c>
      <c r="O20" s="14">
        <f t="shared" si="2"/>
        <v>18884.77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3">
      <c r="A21" s="16" t="s">
        <v>49</v>
      </c>
      <c r="B21" s="16" t="s">
        <v>298</v>
      </c>
      <c r="C21" s="9" t="str">
        <f>IFERROR(INDEX('Employee Master'!$B$10:$B$109,MATCH(B21,'Employee Master'!$A$10:$A$109,0)),"")</f>
        <v>Saravanan P</v>
      </c>
      <c r="D21" s="9" t="str">
        <f>IFERROR(INDEX('Employee Master'!$H$10:$H$109,MATCH(B21,'Employee Master'!$A$10:$A$109,0)),"")</f>
        <v>Finance &amp; Accounts</v>
      </c>
      <c r="E21" s="14">
        <f>IFERROR(INDEX('Employee Master'!$Q$10:$Q$109,MATCH(B21,'Employee Master'!$A$10:$A$109,0)),0)</f>
        <v>12736</v>
      </c>
      <c r="F21" s="14">
        <f>IFERROR(INDEX('Employee Master'!$R$10:$R$109,MATCH(B21,'Employee Master'!$A$10:$A$109,0)),0)</f>
        <v>17200</v>
      </c>
      <c r="G21" s="16">
        <v>23</v>
      </c>
      <c r="H21" s="16">
        <v>0</v>
      </c>
      <c r="I21" s="14">
        <f t="shared" si="0"/>
        <v>0</v>
      </c>
      <c r="J21" s="14">
        <f>SUMIFS('OT Tracker'!$G$10:$G$209,'OT Tracker'!$B$10:$B$209,B21)</f>
        <v>225</v>
      </c>
      <c r="K21" s="14">
        <v>0</v>
      </c>
      <c r="L21" s="14">
        <f>IFERROR(E21*Lists!$L$13*--(INDEX('Employee Master'!$S$10:$S$109,MATCH(B21,'Employee Master'!$A$10:$A$109,0))="Yes"),0)</f>
        <v>0</v>
      </c>
      <c r="M21" s="14">
        <f>IFERROR(F21*Lists!$L$14*--(INDEX('Employee Master'!$T$10:$T$109,MATCH(B21,'Employee Master'!$A$10:$A$109,0))="Yes"),0)</f>
        <v>129</v>
      </c>
      <c r="N21" s="14">
        <f t="shared" si="1"/>
        <v>129</v>
      </c>
      <c r="O21" s="14">
        <f t="shared" si="2"/>
        <v>17296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3">
      <c r="A22" s="16" t="s">
        <v>49</v>
      </c>
      <c r="B22" s="16" t="s">
        <v>299</v>
      </c>
      <c r="C22" s="9" t="str">
        <f>IFERROR(INDEX('Employee Master'!$B$10:$B$109,MATCH(B22,'Employee Master'!$A$10:$A$109,0)),"")</f>
        <v>Karthik V</v>
      </c>
      <c r="D22" s="9" t="str">
        <f>IFERROR(INDEX('Employee Master'!$H$10:$H$109,MATCH(B22,'Employee Master'!$A$10:$A$109,0)),"")</f>
        <v>Administration</v>
      </c>
      <c r="E22" s="14">
        <f>IFERROR(INDEX('Employee Master'!$Q$10:$Q$109,MATCH(B22,'Employee Master'!$A$10:$A$109,0)),0)</f>
        <v>14932</v>
      </c>
      <c r="F22" s="14">
        <f>IFERROR(INDEX('Employee Master'!$R$10:$R$109,MATCH(B22,'Employee Master'!$A$10:$A$109,0)),0)</f>
        <v>20150</v>
      </c>
      <c r="G22" s="16">
        <v>26</v>
      </c>
      <c r="H22" s="16">
        <v>0</v>
      </c>
      <c r="I22" s="14">
        <f t="shared" si="0"/>
        <v>0</v>
      </c>
      <c r="J22" s="14">
        <f>SUMIFS('OT Tracker'!$G$10:$G$209,'OT Tracker'!$B$10:$B$209,B22)</f>
        <v>180</v>
      </c>
      <c r="K22" s="14">
        <v>0</v>
      </c>
      <c r="L22" s="14">
        <f>IFERROR(E22*Lists!$L$13*--(INDEX('Employee Master'!$S$10:$S$109,MATCH(B22,'Employee Master'!$A$10:$A$109,0))="Yes"),0)</f>
        <v>1791.84</v>
      </c>
      <c r="M22" s="14">
        <f>IFERROR(F22*Lists!$L$14*--(INDEX('Employee Master'!$T$10:$T$109,MATCH(B22,'Employee Master'!$A$10:$A$109,0))="Yes"),0)</f>
        <v>151.125</v>
      </c>
      <c r="N22" s="14">
        <f t="shared" si="1"/>
        <v>1942.9649999999999</v>
      </c>
      <c r="O22" s="14">
        <f t="shared" si="2"/>
        <v>18387.035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3">
      <c r="A23" s="16" t="s">
        <v>49</v>
      </c>
      <c r="B23" s="16" t="s">
        <v>300</v>
      </c>
      <c r="C23" s="9" t="str">
        <f>IFERROR(INDEX('Employee Master'!$B$10:$B$109,MATCH(B23,'Employee Master'!$A$10:$A$109,0)),"")</f>
        <v>Senthil Kumar</v>
      </c>
      <c r="D23" s="9" t="str">
        <f>IFERROR(INDEX('Employee Master'!$H$10:$H$109,MATCH(B23,'Employee Master'!$A$10:$A$109,0)),"")</f>
        <v>Operations</v>
      </c>
      <c r="E23" s="14">
        <f>IFERROR(INDEX('Employee Master'!$Q$10:$Q$109,MATCH(B23,'Employee Master'!$A$10:$A$109,0)),0)</f>
        <v>14714</v>
      </c>
      <c r="F23" s="14">
        <f>IFERROR(INDEX('Employee Master'!$R$10:$R$109,MATCH(B23,'Employee Master'!$A$10:$A$109,0)),0)</f>
        <v>19850</v>
      </c>
      <c r="G23" s="16">
        <v>26</v>
      </c>
      <c r="H23" s="16">
        <v>2</v>
      </c>
      <c r="I23" s="14">
        <f t="shared" si="0"/>
        <v>1323.3333333333333</v>
      </c>
      <c r="J23" s="14">
        <f>SUMIFS('OT Tracker'!$G$10:$G$209,'OT Tracker'!$B$10:$B$209,B23)</f>
        <v>225</v>
      </c>
      <c r="K23" s="14">
        <v>0</v>
      </c>
      <c r="L23" s="14">
        <f>IFERROR(E23*Lists!$L$13*--(INDEX('Employee Master'!$S$10:$S$109,MATCH(B23,'Employee Master'!$A$10:$A$109,0))="Yes"),0)</f>
        <v>1765.6799999999998</v>
      </c>
      <c r="M23" s="14">
        <f>IFERROR(F23*Lists!$L$14*--(INDEX('Employee Master'!$T$10:$T$109,MATCH(B23,'Employee Master'!$A$10:$A$109,0))="Yes"),0)</f>
        <v>148.875</v>
      </c>
      <c r="N23" s="14">
        <f t="shared" si="1"/>
        <v>3237.8883333333333</v>
      </c>
      <c r="O23" s="14">
        <f t="shared" si="2"/>
        <v>16837.111666666668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3">
      <c r="A24" s="16" t="s">
        <v>49</v>
      </c>
      <c r="B24" s="16" t="s">
        <v>301</v>
      </c>
      <c r="C24" s="9" t="str">
        <f>IFERROR(INDEX('Employee Master'!$B$10:$B$109,MATCH(B24,'Employee Master'!$A$10:$A$109,0)),"")</f>
        <v>Gopinath P</v>
      </c>
      <c r="D24" s="9" t="str">
        <f>IFERROR(INDEX('Employee Master'!$H$10:$H$109,MATCH(B24,'Employee Master'!$A$10:$A$109,0)),"")</f>
        <v>Sales &amp; Marketing</v>
      </c>
      <c r="E24" s="14">
        <f>IFERROR(INDEX('Employee Master'!$Q$10:$Q$109,MATCH(B24,'Employee Master'!$A$10:$A$109,0)),0)</f>
        <v>22609</v>
      </c>
      <c r="F24" s="14">
        <f>IFERROR(INDEX('Employee Master'!$R$10:$R$109,MATCH(B24,'Employee Master'!$A$10:$A$109,0)),0)</f>
        <v>30500</v>
      </c>
      <c r="G24" s="16">
        <v>24</v>
      </c>
      <c r="H24" s="16">
        <v>0</v>
      </c>
      <c r="I24" s="14">
        <f t="shared" si="0"/>
        <v>0</v>
      </c>
      <c r="J24" s="14">
        <f>SUMIFS('OT Tracker'!$G$10:$G$209,'OT Tracker'!$B$10:$B$209,B24)</f>
        <v>90</v>
      </c>
      <c r="K24" s="14">
        <v>0</v>
      </c>
      <c r="L24" s="14">
        <f>IFERROR(E24*Lists!$L$13*--(INDEX('Employee Master'!$S$10:$S$109,MATCH(B24,'Employee Master'!$A$10:$A$109,0))="Yes"),0)</f>
        <v>0</v>
      </c>
      <c r="M24" s="14">
        <f>IFERROR(F24*Lists!$L$14*--(INDEX('Employee Master'!$T$10:$T$109,MATCH(B24,'Employee Master'!$A$10:$A$109,0))="Yes"),0)</f>
        <v>0</v>
      </c>
      <c r="N24" s="14">
        <f t="shared" si="1"/>
        <v>0</v>
      </c>
      <c r="O24" s="14">
        <f t="shared" si="2"/>
        <v>30590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3">
      <c r="A25" s="16" t="s">
        <v>49</v>
      </c>
      <c r="B25" s="16" t="s">
        <v>302</v>
      </c>
      <c r="C25" s="9" t="str">
        <f>IFERROR(INDEX('Employee Master'!$B$10:$B$109,MATCH(B25,'Employee Master'!$A$10:$A$109,0)),"")</f>
        <v>Muthu Raj</v>
      </c>
      <c r="D25" s="9" t="str">
        <f>IFERROR(INDEX('Employee Master'!$H$10:$H$109,MATCH(B25,'Employee Master'!$A$10:$A$109,0)),"")</f>
        <v>IT &amp; Systems</v>
      </c>
      <c r="E25" s="14">
        <f>IFERROR(INDEX('Employee Master'!$Q$10:$Q$109,MATCH(B25,'Employee Master'!$A$10:$A$109,0)),0)</f>
        <v>11708</v>
      </c>
      <c r="F25" s="14">
        <f>IFERROR(INDEX('Employee Master'!$R$10:$R$109,MATCH(B25,'Employee Master'!$A$10:$A$109,0)),0)</f>
        <v>15800</v>
      </c>
      <c r="G25" s="16">
        <v>23</v>
      </c>
      <c r="H25" s="16">
        <v>0</v>
      </c>
      <c r="I25" s="14">
        <f t="shared" si="0"/>
        <v>0</v>
      </c>
      <c r="J25" s="14">
        <f>SUMIFS('OT Tracker'!$G$10:$G$209,'OT Tracker'!$B$10:$B$209,B25)</f>
        <v>225</v>
      </c>
      <c r="K25" s="14">
        <v>0</v>
      </c>
      <c r="L25" s="14">
        <f>IFERROR(E25*Lists!$L$13*--(INDEX('Employee Master'!$S$10:$S$109,MATCH(B25,'Employee Master'!$A$10:$A$109,0))="Yes"),0)</f>
        <v>0</v>
      </c>
      <c r="M25" s="14">
        <f>IFERROR(F25*Lists!$L$14*--(INDEX('Employee Master'!$T$10:$T$109,MATCH(B25,'Employee Master'!$A$10:$A$109,0))="Yes"),0)</f>
        <v>118.5</v>
      </c>
      <c r="N25" s="14">
        <f t="shared" si="1"/>
        <v>118.5</v>
      </c>
      <c r="O25" s="14">
        <f t="shared" si="2"/>
        <v>15906.5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3">
      <c r="A26" s="16" t="s">
        <v>49</v>
      </c>
      <c r="B26" s="16" t="s">
        <v>303</v>
      </c>
      <c r="C26" s="9" t="str">
        <f>IFERROR(INDEX('Employee Master'!$B$10:$B$109,MATCH(B26,'Employee Master'!$A$10:$A$109,0)),"")</f>
        <v>Senthil Kumar S</v>
      </c>
      <c r="D26" s="9" t="str">
        <f>IFERROR(INDEX('Employee Master'!$H$10:$H$109,MATCH(B26,'Employee Master'!$A$10:$A$109,0)),"")</f>
        <v>Procurement</v>
      </c>
      <c r="E26" s="14">
        <f>IFERROR(INDEX('Employee Master'!$Q$10:$Q$109,MATCH(B26,'Employee Master'!$A$10:$A$109,0)),0)</f>
        <v>19944</v>
      </c>
      <c r="F26" s="14">
        <f>IFERROR(INDEX('Employee Master'!$R$10:$R$109,MATCH(B26,'Employee Master'!$A$10:$A$109,0)),0)</f>
        <v>26900</v>
      </c>
      <c r="G26" s="16">
        <v>25</v>
      </c>
      <c r="H26" s="16">
        <v>0</v>
      </c>
      <c r="I26" s="14">
        <f t="shared" si="0"/>
        <v>0</v>
      </c>
      <c r="J26" s="14">
        <f>SUMIFS('OT Tracker'!$G$10:$G$209,'OT Tracker'!$B$10:$B$209,B26)</f>
        <v>270</v>
      </c>
      <c r="K26" s="14">
        <v>0</v>
      </c>
      <c r="L26" s="14">
        <f>IFERROR(E26*Lists!$L$13*--(INDEX('Employee Master'!$S$10:$S$109,MATCH(B26,'Employee Master'!$A$10:$A$109,0))="Yes"),0)</f>
        <v>2393.2799999999997</v>
      </c>
      <c r="M26" s="14">
        <f>IFERROR(F26*Lists!$L$14*--(INDEX('Employee Master'!$T$10:$T$109,MATCH(B26,'Employee Master'!$A$10:$A$109,0))="Yes"),0)</f>
        <v>0</v>
      </c>
      <c r="N26" s="14">
        <f t="shared" si="1"/>
        <v>2393.2799999999997</v>
      </c>
      <c r="O26" s="14">
        <f t="shared" si="2"/>
        <v>24776.720000000001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3">
      <c r="A27" s="16" t="s">
        <v>49</v>
      </c>
      <c r="B27" s="16" t="s">
        <v>304</v>
      </c>
      <c r="C27" s="9" t="str">
        <f>IFERROR(INDEX('Employee Master'!$B$10:$B$109,MATCH(B27,'Employee Master'!$A$10:$A$109,0)),"")</f>
        <v>Sowmya V</v>
      </c>
      <c r="D27" s="9" t="str">
        <f>IFERROR(INDEX('Employee Master'!$H$10:$H$109,MATCH(B27,'Employee Master'!$A$10:$A$109,0)),"")</f>
        <v>Quality Control</v>
      </c>
      <c r="E27" s="14">
        <f>IFERROR(INDEX('Employee Master'!$Q$10:$Q$109,MATCH(B27,'Employee Master'!$A$10:$A$109,0)),0)</f>
        <v>21806</v>
      </c>
      <c r="F27" s="14">
        <f>IFERROR(INDEX('Employee Master'!$R$10:$R$109,MATCH(B27,'Employee Master'!$A$10:$A$109,0)),0)</f>
        <v>29450</v>
      </c>
      <c r="G27" s="16">
        <v>22</v>
      </c>
      <c r="H27" s="16">
        <v>1</v>
      </c>
      <c r="I27" s="14">
        <f t="shared" si="0"/>
        <v>981.66666666666663</v>
      </c>
      <c r="J27" s="14">
        <f>SUMIFS('OT Tracker'!$G$10:$G$209,'OT Tracker'!$B$10:$B$209,B27)</f>
        <v>135</v>
      </c>
      <c r="K27" s="14">
        <v>0</v>
      </c>
      <c r="L27" s="14">
        <f>IFERROR(E27*Lists!$L$13*--(INDEX('Employee Master'!$S$10:$S$109,MATCH(B27,'Employee Master'!$A$10:$A$109,0))="Yes"),0)</f>
        <v>2616.7199999999998</v>
      </c>
      <c r="M27" s="14">
        <f>IFERROR(F27*Lists!$L$14*--(INDEX('Employee Master'!$T$10:$T$109,MATCH(B27,'Employee Master'!$A$10:$A$109,0))="Yes"),0)</f>
        <v>0</v>
      </c>
      <c r="N27" s="14">
        <f t="shared" si="1"/>
        <v>3598.3866666666663</v>
      </c>
      <c r="O27" s="14">
        <f t="shared" si="2"/>
        <v>25986.613333333335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3">
      <c r="A28" s="16" t="s">
        <v>49</v>
      </c>
      <c r="B28" s="16" t="s">
        <v>305</v>
      </c>
      <c r="C28" s="9" t="str">
        <f>IFERROR(INDEX('Employee Master'!$B$10:$B$109,MATCH(B28,'Employee Master'!$A$10:$A$109,0)),"")</f>
        <v>Nandhini</v>
      </c>
      <c r="D28" s="9" t="str">
        <f>IFERROR(INDEX('Employee Master'!$H$10:$H$109,MATCH(B28,'Employee Master'!$A$10:$A$109,0)),"")</f>
        <v>Maintenance</v>
      </c>
      <c r="E28" s="14">
        <f>IFERROR(INDEX('Employee Master'!$Q$10:$Q$109,MATCH(B28,'Employee Master'!$A$10:$A$109,0)),0)</f>
        <v>15949</v>
      </c>
      <c r="F28" s="14">
        <f>IFERROR(INDEX('Employee Master'!$R$10:$R$109,MATCH(B28,'Employee Master'!$A$10:$A$109,0)),0)</f>
        <v>21550</v>
      </c>
      <c r="G28" s="16">
        <v>26</v>
      </c>
      <c r="H28" s="16">
        <v>0</v>
      </c>
      <c r="I28" s="14">
        <f t="shared" si="0"/>
        <v>0</v>
      </c>
      <c r="J28" s="14">
        <f>SUMIFS('OT Tracker'!$G$10:$G$209,'OT Tracker'!$B$10:$B$209,B28)</f>
        <v>90</v>
      </c>
      <c r="K28" s="14">
        <v>0</v>
      </c>
      <c r="L28" s="14">
        <f>IFERROR(E28*Lists!$L$13*--(INDEX('Employee Master'!$S$10:$S$109,MATCH(B28,'Employee Master'!$A$10:$A$109,0))="Yes"),0)</f>
        <v>1913.8799999999999</v>
      </c>
      <c r="M28" s="14">
        <f>IFERROR(F28*Lists!$L$14*--(INDEX('Employee Master'!$T$10:$T$109,MATCH(B28,'Employee Master'!$A$10:$A$109,0))="Yes"),0)</f>
        <v>0</v>
      </c>
      <c r="N28" s="14">
        <f t="shared" si="1"/>
        <v>1913.8799999999999</v>
      </c>
      <c r="O28" s="14">
        <f t="shared" si="2"/>
        <v>19726.12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3">
      <c r="A29" s="16" t="s">
        <v>49</v>
      </c>
      <c r="B29" s="16" t="s">
        <v>306</v>
      </c>
      <c r="C29" s="9" t="str">
        <f>IFERROR(INDEX('Employee Master'!$B$10:$B$109,MATCH(B29,'Employee Master'!$A$10:$A$109,0)),"")</f>
        <v>Divya</v>
      </c>
      <c r="D29" s="9" t="str">
        <f>IFERROR(INDEX('Employee Master'!$H$10:$H$109,MATCH(B29,'Employee Master'!$A$10:$A$109,0)),"")</f>
        <v>Customer Support</v>
      </c>
      <c r="E29" s="14">
        <f>IFERROR(INDEX('Employee Master'!$Q$10:$Q$109,MATCH(B29,'Employee Master'!$A$10:$A$109,0)),0)</f>
        <v>19913</v>
      </c>
      <c r="F29" s="14">
        <f>IFERROR(INDEX('Employee Master'!$R$10:$R$109,MATCH(B29,'Employee Master'!$A$10:$A$109,0)),0)</f>
        <v>26900</v>
      </c>
      <c r="G29" s="16">
        <v>24</v>
      </c>
      <c r="H29" s="16">
        <v>1</v>
      </c>
      <c r="I29" s="14">
        <f t="shared" si="0"/>
        <v>896.66666666666663</v>
      </c>
      <c r="J29" s="14">
        <f>SUMIFS('OT Tracker'!$G$10:$G$209,'OT Tracker'!$B$10:$B$209,B29)</f>
        <v>180</v>
      </c>
      <c r="K29" s="14">
        <v>0</v>
      </c>
      <c r="L29" s="14">
        <f>IFERROR(E29*Lists!$L$13*--(INDEX('Employee Master'!$S$10:$S$109,MATCH(B29,'Employee Master'!$A$10:$A$109,0))="Yes"),0)</f>
        <v>0</v>
      </c>
      <c r="M29" s="14">
        <f>IFERROR(F29*Lists!$L$14*--(INDEX('Employee Master'!$T$10:$T$109,MATCH(B29,'Employee Master'!$A$10:$A$109,0))="Yes"),0)</f>
        <v>0</v>
      </c>
      <c r="N29" s="14">
        <f t="shared" si="1"/>
        <v>896.66666666666663</v>
      </c>
      <c r="O29" s="14">
        <f t="shared" si="2"/>
        <v>26183.333333333332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3">
      <c r="A30" s="16" t="s">
        <v>49</v>
      </c>
      <c r="B30" s="16" t="s">
        <v>307</v>
      </c>
      <c r="C30" s="9" t="str">
        <f>IFERROR(INDEX('Employee Master'!$B$10:$B$109,MATCH(B30,'Employee Master'!$A$10:$A$109,0)),"")</f>
        <v>Divya K</v>
      </c>
      <c r="D30" s="9" t="str">
        <f>IFERROR(INDEX('Employee Master'!$H$10:$H$109,MATCH(B30,'Employee Master'!$A$10:$A$109,0)),"")</f>
        <v>Human Resources</v>
      </c>
      <c r="E30" s="14">
        <f>IFERROR(INDEX('Employee Master'!$Q$10:$Q$109,MATCH(B30,'Employee Master'!$A$10:$A$109,0)),0)</f>
        <v>13357</v>
      </c>
      <c r="F30" s="14">
        <f>IFERROR(INDEX('Employee Master'!$R$10:$R$109,MATCH(B30,'Employee Master'!$A$10:$A$109,0)),0)</f>
        <v>18050</v>
      </c>
      <c r="G30" s="16">
        <v>26</v>
      </c>
      <c r="H30" s="16">
        <v>0</v>
      </c>
      <c r="I30" s="14">
        <f t="shared" si="0"/>
        <v>0</v>
      </c>
      <c r="J30" s="14">
        <f>SUMIFS('OT Tracker'!$G$10:$G$209,'OT Tracker'!$B$10:$B$209,B30)</f>
        <v>360</v>
      </c>
      <c r="K30" s="14">
        <v>0</v>
      </c>
      <c r="L30" s="14">
        <f>IFERROR(E30*Lists!$L$13*--(INDEX('Employee Master'!$S$10:$S$109,MATCH(B30,'Employee Master'!$A$10:$A$109,0))="Yes"),0)</f>
        <v>1602.84</v>
      </c>
      <c r="M30" s="14">
        <f>IFERROR(F30*Lists!$L$14*--(INDEX('Employee Master'!$T$10:$T$109,MATCH(B30,'Employee Master'!$A$10:$A$109,0))="Yes"),0)</f>
        <v>135.375</v>
      </c>
      <c r="N30" s="14">
        <f t="shared" si="1"/>
        <v>1738.2149999999999</v>
      </c>
      <c r="O30" s="14">
        <f t="shared" si="2"/>
        <v>16671.785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3">
      <c r="A31" s="16" t="s">
        <v>49</v>
      </c>
      <c r="B31" s="16" t="s">
        <v>308</v>
      </c>
      <c r="C31" s="9" t="str">
        <f>IFERROR(INDEX('Employee Master'!$B$10:$B$109,MATCH(B31,'Employee Master'!$A$10:$A$109,0)),"")</f>
        <v>Karthik S</v>
      </c>
      <c r="D31" s="9" t="str">
        <f>IFERROR(INDEX('Employee Master'!$H$10:$H$109,MATCH(B31,'Employee Master'!$A$10:$A$109,0)),"")</f>
        <v>Finance &amp; Accounts</v>
      </c>
      <c r="E31" s="14">
        <f>IFERROR(INDEX('Employee Master'!$Q$10:$Q$109,MATCH(B31,'Employee Master'!$A$10:$A$109,0)),0)</f>
        <v>14320</v>
      </c>
      <c r="F31" s="14">
        <f>IFERROR(INDEX('Employee Master'!$R$10:$R$109,MATCH(B31,'Employee Master'!$A$10:$A$109,0)),0)</f>
        <v>19350</v>
      </c>
      <c r="G31" s="16">
        <v>26</v>
      </c>
      <c r="H31" s="16">
        <v>0</v>
      </c>
      <c r="I31" s="14">
        <f t="shared" si="0"/>
        <v>0</v>
      </c>
      <c r="J31" s="14">
        <f>SUMIFS('OT Tracker'!$G$10:$G$209,'OT Tracker'!$B$10:$B$209,B31)</f>
        <v>120</v>
      </c>
      <c r="K31" s="14">
        <v>0</v>
      </c>
      <c r="L31" s="14">
        <f>IFERROR(E31*Lists!$L$13*--(INDEX('Employee Master'!$S$10:$S$109,MATCH(B31,'Employee Master'!$A$10:$A$109,0))="Yes"),0)</f>
        <v>1718.3999999999999</v>
      </c>
      <c r="M31" s="14">
        <f>IFERROR(F31*Lists!$L$14*--(INDEX('Employee Master'!$T$10:$T$109,MATCH(B31,'Employee Master'!$A$10:$A$109,0))="Yes"),0)</f>
        <v>145.125</v>
      </c>
      <c r="N31" s="14">
        <f t="shared" si="1"/>
        <v>1863.5249999999999</v>
      </c>
      <c r="O31" s="14">
        <f t="shared" si="2"/>
        <v>17606.474999999999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3">
      <c r="A32" s="16" t="s">
        <v>49</v>
      </c>
      <c r="B32" s="16" t="s">
        <v>309</v>
      </c>
      <c r="C32" s="9" t="str">
        <f>IFERROR(INDEX('Employee Master'!$B$10:$B$109,MATCH(B32,'Employee Master'!$A$10:$A$109,0)),"")</f>
        <v>Dinesh</v>
      </c>
      <c r="D32" s="9" t="str">
        <f>IFERROR(INDEX('Employee Master'!$H$10:$H$109,MATCH(B32,'Employee Master'!$A$10:$A$109,0)),"")</f>
        <v>Administration</v>
      </c>
      <c r="E32" s="14">
        <f>IFERROR(INDEX('Employee Master'!$Q$10:$Q$109,MATCH(B32,'Employee Master'!$A$10:$A$109,0)),0)</f>
        <v>14266</v>
      </c>
      <c r="F32" s="14">
        <f>IFERROR(INDEX('Employee Master'!$R$10:$R$109,MATCH(B32,'Employee Master'!$A$10:$A$109,0)),0)</f>
        <v>19250</v>
      </c>
      <c r="G32" s="16">
        <v>23</v>
      </c>
      <c r="H32" s="16">
        <v>0</v>
      </c>
      <c r="I32" s="14">
        <f t="shared" si="0"/>
        <v>0</v>
      </c>
      <c r="J32" s="14">
        <f>SUMIFS('OT Tracker'!$G$10:$G$209,'OT Tracker'!$B$10:$B$209,B32)</f>
        <v>300</v>
      </c>
      <c r="K32" s="14">
        <v>0</v>
      </c>
      <c r="L32" s="14">
        <f>IFERROR(E32*Lists!$L$13*--(INDEX('Employee Master'!$S$10:$S$109,MATCH(B32,'Employee Master'!$A$10:$A$109,0))="Yes"),0)</f>
        <v>1711.9199999999998</v>
      </c>
      <c r="M32" s="14">
        <f>IFERROR(F32*Lists!$L$14*--(INDEX('Employee Master'!$T$10:$T$109,MATCH(B32,'Employee Master'!$A$10:$A$109,0))="Yes"),0)</f>
        <v>144.375</v>
      </c>
      <c r="N32" s="14">
        <f t="shared" si="1"/>
        <v>1856.2949999999998</v>
      </c>
      <c r="O32" s="14">
        <f t="shared" si="2"/>
        <v>17693.705000000002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3">
      <c r="A33" s="16" t="s">
        <v>49</v>
      </c>
      <c r="B33" s="16" t="s">
        <v>310</v>
      </c>
      <c r="C33" s="9" t="str">
        <f>IFERROR(INDEX('Employee Master'!$B$10:$B$109,MATCH(B33,'Employee Master'!$A$10:$A$109,0)),"")</f>
        <v>Kumaresan M</v>
      </c>
      <c r="D33" s="9" t="str">
        <f>IFERROR(INDEX('Employee Master'!$H$10:$H$109,MATCH(B33,'Employee Master'!$A$10:$A$109,0)),"")</f>
        <v>Operations</v>
      </c>
      <c r="E33" s="14">
        <f>IFERROR(INDEX('Employee Master'!$Q$10:$Q$109,MATCH(B33,'Employee Master'!$A$10:$A$109,0)),0)</f>
        <v>13132</v>
      </c>
      <c r="F33" s="14">
        <f>IFERROR(INDEX('Employee Master'!$R$10:$R$109,MATCH(B33,'Employee Master'!$A$10:$A$109,0)),0)</f>
        <v>17750</v>
      </c>
      <c r="G33" s="16">
        <v>26</v>
      </c>
      <c r="H33" s="16">
        <v>0</v>
      </c>
      <c r="I33" s="14">
        <f t="shared" si="0"/>
        <v>0</v>
      </c>
      <c r="J33" s="14">
        <f>SUMIFS('OT Tracker'!$G$10:$G$209,'OT Tracker'!$B$10:$B$209,B33)</f>
        <v>300</v>
      </c>
      <c r="K33" s="14">
        <v>0</v>
      </c>
      <c r="L33" s="14">
        <f>IFERROR(E33*Lists!$L$13*--(INDEX('Employee Master'!$S$10:$S$109,MATCH(B33,'Employee Master'!$A$10:$A$109,0))="Yes"),0)</f>
        <v>0</v>
      </c>
      <c r="M33" s="14">
        <f>IFERROR(F33*Lists!$L$14*--(INDEX('Employee Master'!$T$10:$T$109,MATCH(B33,'Employee Master'!$A$10:$A$109,0))="Yes"),0)</f>
        <v>133.125</v>
      </c>
      <c r="N33" s="14">
        <f t="shared" si="1"/>
        <v>133.125</v>
      </c>
      <c r="O33" s="14">
        <f t="shared" si="2"/>
        <v>17916.875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3">
      <c r="A34" s="16" t="s">
        <v>49</v>
      </c>
      <c r="B34" s="16" t="s">
        <v>311</v>
      </c>
      <c r="C34" s="9" t="str">
        <f>IFERROR(INDEX('Employee Master'!$B$10:$B$109,MATCH(B34,'Employee Master'!$A$10:$A$109,0)),"")</f>
        <v>Vijay P</v>
      </c>
      <c r="D34" s="9" t="str">
        <f>IFERROR(INDEX('Employee Master'!$H$10:$H$109,MATCH(B34,'Employee Master'!$A$10:$A$109,0)),"")</f>
        <v>Sales &amp; Marketing</v>
      </c>
      <c r="E34" s="14">
        <f>IFERROR(INDEX('Employee Master'!$Q$10:$Q$109,MATCH(B34,'Employee Master'!$A$10:$A$109,0)),0)</f>
        <v>12892</v>
      </c>
      <c r="F34" s="14">
        <f>IFERROR(INDEX('Employee Master'!$R$10:$R$109,MATCH(B34,'Employee Master'!$A$10:$A$109,0)),0)</f>
        <v>17400</v>
      </c>
      <c r="G34" s="16">
        <v>22</v>
      </c>
      <c r="H34" s="16">
        <v>0</v>
      </c>
      <c r="I34" s="14">
        <f t="shared" si="0"/>
        <v>0</v>
      </c>
      <c r="J34" s="14">
        <f>SUMIFS('OT Tracker'!$G$10:$G$209,'OT Tracker'!$B$10:$B$209,B34)</f>
        <v>120</v>
      </c>
      <c r="K34" s="14">
        <v>0</v>
      </c>
      <c r="L34" s="14">
        <f>IFERROR(E34*Lists!$L$13*--(INDEX('Employee Master'!$S$10:$S$109,MATCH(B34,'Employee Master'!$A$10:$A$109,0))="Yes"),0)</f>
        <v>1547.04</v>
      </c>
      <c r="M34" s="14">
        <f>IFERROR(F34*Lists!$L$14*--(INDEX('Employee Master'!$T$10:$T$109,MATCH(B34,'Employee Master'!$A$10:$A$109,0))="Yes"),0)</f>
        <v>130.5</v>
      </c>
      <c r="N34" s="14">
        <f t="shared" si="1"/>
        <v>1677.54</v>
      </c>
      <c r="O34" s="14">
        <f t="shared" si="2"/>
        <v>15842.46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3">
      <c r="A35" s="16" t="s">
        <v>49</v>
      </c>
      <c r="B35" s="16" t="s">
        <v>312</v>
      </c>
      <c r="C35" s="9" t="str">
        <f>IFERROR(INDEX('Employee Master'!$B$10:$B$109,MATCH(B35,'Employee Master'!$A$10:$A$109,0)),"")</f>
        <v>Divya R</v>
      </c>
      <c r="D35" s="9" t="str">
        <f>IFERROR(INDEX('Employee Master'!$H$10:$H$109,MATCH(B35,'Employee Master'!$A$10:$A$109,0)),"")</f>
        <v>IT &amp; Systems</v>
      </c>
      <c r="E35" s="14">
        <f>IFERROR(INDEX('Employee Master'!$Q$10:$Q$109,MATCH(B35,'Employee Master'!$A$10:$A$109,0)),0)</f>
        <v>23491</v>
      </c>
      <c r="F35" s="14">
        <f>IFERROR(INDEX('Employee Master'!$R$10:$R$109,MATCH(B35,'Employee Master'!$A$10:$A$109,0)),0)</f>
        <v>31700</v>
      </c>
      <c r="G35" s="16">
        <v>23</v>
      </c>
      <c r="H35" s="16">
        <v>2</v>
      </c>
      <c r="I35" s="14">
        <f t="shared" si="0"/>
        <v>2113.3333333333335</v>
      </c>
      <c r="J35" s="14">
        <f>SUMIFS('OT Tracker'!$G$10:$G$209,'OT Tracker'!$B$10:$B$209,B35)</f>
        <v>360</v>
      </c>
      <c r="K35" s="14">
        <v>0</v>
      </c>
      <c r="L35" s="14">
        <f>IFERROR(E35*Lists!$L$13*--(INDEX('Employee Master'!$S$10:$S$109,MATCH(B35,'Employee Master'!$A$10:$A$109,0))="Yes"),0)</f>
        <v>2818.92</v>
      </c>
      <c r="M35" s="14">
        <f>IFERROR(F35*Lists!$L$14*--(INDEX('Employee Master'!$T$10:$T$109,MATCH(B35,'Employee Master'!$A$10:$A$109,0))="Yes"),0)</f>
        <v>0</v>
      </c>
      <c r="N35" s="14">
        <f t="shared" si="1"/>
        <v>4932.253333333334</v>
      </c>
      <c r="O35" s="14">
        <f t="shared" si="2"/>
        <v>27127.746666666666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3">
      <c r="A36" s="16" t="s">
        <v>49</v>
      </c>
      <c r="B36" s="16" t="s">
        <v>313</v>
      </c>
      <c r="C36" s="9" t="str">
        <f>IFERROR(INDEX('Employee Master'!$B$10:$B$109,MATCH(B36,'Employee Master'!$A$10:$A$109,0)),"")</f>
        <v>Selvam R</v>
      </c>
      <c r="D36" s="9" t="str">
        <f>IFERROR(INDEX('Employee Master'!$H$10:$H$109,MATCH(B36,'Employee Master'!$A$10:$A$109,0)),"")</f>
        <v>Procurement</v>
      </c>
      <c r="E36" s="14">
        <f>IFERROR(INDEX('Employee Master'!$Q$10:$Q$109,MATCH(B36,'Employee Master'!$A$10:$A$109,0)),0)</f>
        <v>13243</v>
      </c>
      <c r="F36" s="14">
        <f>IFERROR(INDEX('Employee Master'!$R$10:$R$109,MATCH(B36,'Employee Master'!$A$10:$A$109,0)),0)</f>
        <v>17900</v>
      </c>
      <c r="G36" s="16">
        <v>26</v>
      </c>
      <c r="H36" s="16">
        <v>0</v>
      </c>
      <c r="I36" s="14">
        <f t="shared" si="0"/>
        <v>0</v>
      </c>
      <c r="J36" s="14">
        <f>SUMIFS('OT Tracker'!$G$10:$G$209,'OT Tracker'!$B$10:$B$209,B36)</f>
        <v>270</v>
      </c>
      <c r="K36" s="14">
        <v>0</v>
      </c>
      <c r="L36" s="14">
        <f>IFERROR(E36*Lists!$L$13*--(INDEX('Employee Master'!$S$10:$S$109,MATCH(B36,'Employee Master'!$A$10:$A$109,0))="Yes"),0)</f>
        <v>1589.1599999999999</v>
      </c>
      <c r="M36" s="14">
        <f>IFERROR(F36*Lists!$L$14*--(INDEX('Employee Master'!$T$10:$T$109,MATCH(B36,'Employee Master'!$A$10:$A$109,0))="Yes"),0)</f>
        <v>134.25</v>
      </c>
      <c r="N36" s="14">
        <f t="shared" si="1"/>
        <v>1723.4099999999999</v>
      </c>
      <c r="O36" s="14">
        <f t="shared" si="2"/>
        <v>16446.59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3">
      <c r="A37" s="16" t="s">
        <v>49</v>
      </c>
      <c r="B37" s="16" t="s">
        <v>314</v>
      </c>
      <c r="C37" s="9" t="str">
        <f>IFERROR(INDEX('Employee Master'!$B$10:$B$109,MATCH(B37,'Employee Master'!$A$10:$A$109,0)),"")</f>
        <v>Saravanan</v>
      </c>
      <c r="D37" s="9" t="str">
        <f>IFERROR(INDEX('Employee Master'!$H$10:$H$109,MATCH(B37,'Employee Master'!$A$10:$A$109,0)),"")</f>
        <v>Quality Control</v>
      </c>
      <c r="E37" s="14">
        <f>IFERROR(INDEX('Employee Master'!$Q$10:$Q$109,MATCH(B37,'Employee Master'!$A$10:$A$109,0)),0)</f>
        <v>14398</v>
      </c>
      <c r="F37" s="14">
        <f>IFERROR(INDEX('Employee Master'!$R$10:$R$109,MATCH(B37,'Employee Master'!$A$10:$A$109,0)),0)</f>
        <v>19450</v>
      </c>
      <c r="G37" s="16">
        <v>23</v>
      </c>
      <c r="H37" s="16">
        <v>1</v>
      </c>
      <c r="I37" s="14">
        <f t="shared" si="0"/>
        <v>648.33333333333337</v>
      </c>
      <c r="J37" s="14">
        <f>SUMIFS('OT Tracker'!$G$10:$G$209,'OT Tracker'!$B$10:$B$209,B37)</f>
        <v>480</v>
      </c>
      <c r="K37" s="14">
        <v>0</v>
      </c>
      <c r="L37" s="14">
        <f>IFERROR(E37*Lists!$L$13*--(INDEX('Employee Master'!$S$10:$S$109,MATCH(B37,'Employee Master'!$A$10:$A$109,0))="Yes"),0)</f>
        <v>0</v>
      </c>
      <c r="M37" s="14">
        <f>IFERROR(F37*Lists!$L$14*--(INDEX('Employee Master'!$T$10:$T$109,MATCH(B37,'Employee Master'!$A$10:$A$109,0))="Yes"),0)</f>
        <v>145.875</v>
      </c>
      <c r="N37" s="14">
        <f t="shared" si="1"/>
        <v>794.20833333333337</v>
      </c>
      <c r="O37" s="14">
        <f t="shared" si="2"/>
        <v>19135.791666666668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3">
      <c r="A38" s="16" t="s">
        <v>49</v>
      </c>
      <c r="B38" s="16" t="s">
        <v>315</v>
      </c>
      <c r="C38" s="9" t="str">
        <f>IFERROR(INDEX('Employee Master'!$B$10:$B$109,MATCH(B38,'Employee Master'!$A$10:$A$109,0)),"")</f>
        <v>Nandhini R</v>
      </c>
      <c r="D38" s="9" t="str">
        <f>IFERROR(INDEX('Employee Master'!$H$10:$H$109,MATCH(B38,'Employee Master'!$A$10:$A$109,0)),"")</f>
        <v>Maintenance</v>
      </c>
      <c r="E38" s="14">
        <f>IFERROR(INDEX('Employee Master'!$Q$10:$Q$109,MATCH(B38,'Employee Master'!$A$10:$A$109,0)),0)</f>
        <v>22605</v>
      </c>
      <c r="F38" s="14">
        <f>IFERROR(INDEX('Employee Master'!$R$10:$R$109,MATCH(B38,'Employee Master'!$A$10:$A$109,0)),0)</f>
        <v>30500</v>
      </c>
      <c r="G38" s="16">
        <v>23</v>
      </c>
      <c r="H38" s="16">
        <v>0</v>
      </c>
      <c r="I38" s="14">
        <f t="shared" si="0"/>
        <v>0</v>
      </c>
      <c r="J38" s="14">
        <f>SUMIFS('OT Tracker'!$G$10:$G$209,'OT Tracker'!$B$10:$B$209,B38)</f>
        <v>180</v>
      </c>
      <c r="K38" s="14">
        <v>0</v>
      </c>
      <c r="L38" s="14">
        <f>IFERROR(E38*Lists!$L$13*--(INDEX('Employee Master'!$S$10:$S$109,MATCH(B38,'Employee Master'!$A$10:$A$109,0))="Yes"),0)</f>
        <v>2712.6</v>
      </c>
      <c r="M38" s="14">
        <f>IFERROR(F38*Lists!$L$14*--(INDEX('Employee Master'!$T$10:$T$109,MATCH(B38,'Employee Master'!$A$10:$A$109,0))="Yes"),0)</f>
        <v>0</v>
      </c>
      <c r="N38" s="14">
        <f t="shared" si="1"/>
        <v>2712.6</v>
      </c>
      <c r="O38" s="14">
        <f t="shared" si="2"/>
        <v>27967.4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3">
      <c r="A39" s="16" t="s">
        <v>49</v>
      </c>
      <c r="B39" s="16" t="s">
        <v>316</v>
      </c>
      <c r="C39" s="9" t="str">
        <f>IFERROR(INDEX('Employee Master'!$B$10:$B$109,MATCH(B39,'Employee Master'!$A$10:$A$109,0)),"")</f>
        <v>Kavitha R</v>
      </c>
      <c r="D39" s="9" t="str">
        <f>IFERROR(INDEX('Employee Master'!$H$10:$H$109,MATCH(B39,'Employee Master'!$A$10:$A$109,0)),"")</f>
        <v>Customer Support</v>
      </c>
      <c r="E39" s="14">
        <f>IFERROR(INDEX('Employee Master'!$Q$10:$Q$109,MATCH(B39,'Employee Master'!$A$10:$A$109,0)),0)</f>
        <v>14170</v>
      </c>
      <c r="F39" s="14">
        <f>IFERROR(INDEX('Employee Master'!$R$10:$R$109,MATCH(B39,'Employee Master'!$A$10:$A$109,0)),0)</f>
        <v>19150</v>
      </c>
      <c r="G39" s="16">
        <v>26</v>
      </c>
      <c r="H39" s="16">
        <v>0</v>
      </c>
      <c r="I39" s="14">
        <f t="shared" si="0"/>
        <v>0</v>
      </c>
      <c r="J39" s="14">
        <f>SUMIFS('OT Tracker'!$G$10:$G$209,'OT Tracker'!$B$10:$B$209,B39)</f>
        <v>360</v>
      </c>
      <c r="K39" s="14">
        <v>0</v>
      </c>
      <c r="L39" s="14">
        <f>IFERROR(E39*Lists!$L$13*--(INDEX('Employee Master'!$S$10:$S$109,MATCH(B39,'Employee Master'!$A$10:$A$109,0))="Yes"),0)</f>
        <v>1700.3999999999999</v>
      </c>
      <c r="M39" s="14">
        <f>IFERROR(F39*Lists!$L$14*--(INDEX('Employee Master'!$T$10:$T$109,MATCH(B39,'Employee Master'!$A$10:$A$109,0))="Yes"),0)</f>
        <v>143.625</v>
      </c>
      <c r="N39" s="14">
        <f t="shared" si="1"/>
        <v>1844.0249999999999</v>
      </c>
      <c r="O39" s="14">
        <f t="shared" si="2"/>
        <v>17665.974999999999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3">
      <c r="A40" s="16" t="s">
        <v>49</v>
      </c>
      <c r="B40" s="16" t="s">
        <v>317</v>
      </c>
      <c r="C40" s="9" t="str">
        <f>IFERROR(INDEX('Employee Master'!$B$10:$B$109,MATCH(B40,'Employee Master'!$A$10:$A$109,0)),"")</f>
        <v>Suresh K</v>
      </c>
      <c r="D40" s="9" t="str">
        <f>IFERROR(INDEX('Employee Master'!$H$10:$H$109,MATCH(B40,'Employee Master'!$A$10:$A$109,0)),"")</f>
        <v>Human Resources</v>
      </c>
      <c r="E40" s="14">
        <f>IFERROR(INDEX('Employee Master'!$Q$10:$Q$109,MATCH(B40,'Employee Master'!$A$10:$A$109,0)),0)</f>
        <v>23159</v>
      </c>
      <c r="F40" s="14">
        <f>IFERROR(INDEX('Employee Master'!$R$10:$R$109,MATCH(B40,'Employee Master'!$A$10:$A$109,0)),0)</f>
        <v>31250</v>
      </c>
      <c r="G40" s="16">
        <v>22</v>
      </c>
      <c r="H40" s="16">
        <v>0</v>
      </c>
      <c r="I40" s="14">
        <f t="shared" si="0"/>
        <v>0</v>
      </c>
      <c r="J40" s="14">
        <f>SUMIFS('OT Tracker'!$G$10:$G$209,'OT Tracker'!$B$10:$B$209,B40)</f>
        <v>360</v>
      </c>
      <c r="K40" s="14">
        <v>0</v>
      </c>
      <c r="L40" s="14">
        <f>IFERROR(E40*Lists!$L$13*--(INDEX('Employee Master'!$S$10:$S$109,MATCH(B40,'Employee Master'!$A$10:$A$109,0))="Yes"),0)</f>
        <v>2779.08</v>
      </c>
      <c r="M40" s="14">
        <f>IFERROR(F40*Lists!$L$14*--(INDEX('Employee Master'!$T$10:$T$109,MATCH(B40,'Employee Master'!$A$10:$A$109,0))="Yes"),0)</f>
        <v>0</v>
      </c>
      <c r="N40" s="14">
        <f t="shared" si="1"/>
        <v>2779.08</v>
      </c>
      <c r="O40" s="14">
        <f t="shared" si="2"/>
        <v>28830.92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3">
      <c r="A41" s="16" t="s">
        <v>49</v>
      </c>
      <c r="B41" s="16" t="s">
        <v>318</v>
      </c>
      <c r="C41" s="9" t="str">
        <f>IFERROR(INDEX('Employee Master'!$B$10:$B$109,MATCH(B41,'Employee Master'!$A$10:$A$109,0)),"")</f>
        <v>Sathish M</v>
      </c>
      <c r="D41" s="9" t="str">
        <f>IFERROR(INDEX('Employee Master'!$H$10:$H$109,MATCH(B41,'Employee Master'!$A$10:$A$109,0)),"")</f>
        <v>Finance &amp; Accounts</v>
      </c>
      <c r="E41" s="14">
        <f>IFERROR(INDEX('Employee Master'!$Q$10:$Q$109,MATCH(B41,'Employee Master'!$A$10:$A$109,0)),0)</f>
        <v>13770</v>
      </c>
      <c r="F41" s="14">
        <f>IFERROR(INDEX('Employee Master'!$R$10:$R$109,MATCH(B41,'Employee Master'!$A$10:$A$109,0)),0)</f>
        <v>18600</v>
      </c>
      <c r="G41" s="16">
        <v>25</v>
      </c>
      <c r="H41" s="16">
        <v>1</v>
      </c>
      <c r="I41" s="14">
        <f t="shared" si="0"/>
        <v>620</v>
      </c>
      <c r="J41" s="14">
        <f>SUMIFS('OT Tracker'!$G$10:$G$209,'OT Tracker'!$B$10:$B$209,B41)</f>
        <v>225</v>
      </c>
      <c r="K41" s="14">
        <v>0</v>
      </c>
      <c r="L41" s="14">
        <f>IFERROR(E41*Lists!$L$13*--(INDEX('Employee Master'!$S$10:$S$109,MATCH(B41,'Employee Master'!$A$10:$A$109,0))="Yes"),0)</f>
        <v>1652.3999999999999</v>
      </c>
      <c r="M41" s="14">
        <f>IFERROR(F41*Lists!$L$14*--(INDEX('Employee Master'!$T$10:$T$109,MATCH(B41,'Employee Master'!$A$10:$A$109,0))="Yes"),0)</f>
        <v>139.5</v>
      </c>
      <c r="N41" s="14">
        <f t="shared" si="1"/>
        <v>2411.8999999999996</v>
      </c>
      <c r="O41" s="14">
        <f t="shared" si="2"/>
        <v>16413.099999999999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3">
      <c r="A42" s="16" t="s">
        <v>49</v>
      </c>
      <c r="B42" s="16" t="s">
        <v>319</v>
      </c>
      <c r="C42" s="9" t="str">
        <f>IFERROR(INDEX('Employee Master'!$B$10:$B$109,MATCH(B42,'Employee Master'!$A$10:$A$109,0)),"")</f>
        <v>Selvam K</v>
      </c>
      <c r="D42" s="9" t="str">
        <f>IFERROR(INDEX('Employee Master'!$H$10:$H$109,MATCH(B42,'Employee Master'!$A$10:$A$109,0)),"")</f>
        <v>Administration</v>
      </c>
      <c r="E42" s="14">
        <f>IFERROR(INDEX('Employee Master'!$Q$10:$Q$109,MATCH(B42,'Employee Master'!$A$10:$A$109,0)),0)</f>
        <v>20659</v>
      </c>
      <c r="F42" s="14">
        <f>IFERROR(INDEX('Employee Master'!$R$10:$R$109,MATCH(B42,'Employee Master'!$A$10:$A$109,0)),0)</f>
        <v>27900</v>
      </c>
      <c r="G42" s="16">
        <v>23</v>
      </c>
      <c r="H42" s="16">
        <v>0</v>
      </c>
      <c r="I42" s="14">
        <f t="shared" ref="I42:I73" si="3">IFERROR(F42/30*H42,0)</f>
        <v>0</v>
      </c>
      <c r="J42" s="14">
        <f>SUMIFS('OT Tracker'!$G$10:$G$209,'OT Tracker'!$B$10:$B$209,B42)</f>
        <v>180</v>
      </c>
      <c r="K42" s="14">
        <v>0</v>
      </c>
      <c r="L42" s="14">
        <f>IFERROR(E42*Lists!$L$13*--(INDEX('Employee Master'!$S$10:$S$109,MATCH(B42,'Employee Master'!$A$10:$A$109,0))="Yes"),0)</f>
        <v>0</v>
      </c>
      <c r="M42" s="14">
        <f>IFERROR(F42*Lists!$L$14*--(INDEX('Employee Master'!$T$10:$T$109,MATCH(B42,'Employee Master'!$A$10:$A$109,0))="Yes"),0)</f>
        <v>0</v>
      </c>
      <c r="N42" s="14">
        <f t="shared" ref="N42:N73" si="4">I42+K42+L42+M42</f>
        <v>0</v>
      </c>
      <c r="O42" s="14">
        <f t="shared" ref="O42:O73" si="5">F42+J42-N42</f>
        <v>28080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3">
      <c r="A43" s="16" t="s">
        <v>49</v>
      </c>
      <c r="B43" s="16" t="s">
        <v>320</v>
      </c>
      <c r="C43" s="9" t="str">
        <f>IFERROR(INDEX('Employee Master'!$B$10:$B$109,MATCH(B43,'Employee Master'!$A$10:$A$109,0)),"")</f>
        <v>Revathi V</v>
      </c>
      <c r="D43" s="9" t="str">
        <f>IFERROR(INDEX('Employee Master'!$H$10:$H$109,MATCH(B43,'Employee Master'!$A$10:$A$109,0)),"")</f>
        <v>Operations</v>
      </c>
      <c r="E43" s="14">
        <f>IFERROR(INDEX('Employee Master'!$Q$10:$Q$109,MATCH(B43,'Employee Master'!$A$10:$A$109,0)),0)</f>
        <v>12099</v>
      </c>
      <c r="F43" s="14">
        <f>IFERROR(INDEX('Employee Master'!$R$10:$R$109,MATCH(B43,'Employee Master'!$A$10:$A$109,0)),0)</f>
        <v>16350</v>
      </c>
      <c r="G43" s="16">
        <v>25</v>
      </c>
      <c r="H43" s="16">
        <v>0</v>
      </c>
      <c r="I43" s="14">
        <f t="shared" si="3"/>
        <v>0</v>
      </c>
      <c r="J43" s="14">
        <f>SUMIFS('OT Tracker'!$G$10:$G$209,'OT Tracker'!$B$10:$B$209,B43)</f>
        <v>270</v>
      </c>
      <c r="K43" s="14">
        <v>0</v>
      </c>
      <c r="L43" s="14">
        <f>IFERROR(E43*Lists!$L$13*--(INDEX('Employee Master'!$S$10:$S$109,MATCH(B43,'Employee Master'!$A$10:$A$109,0))="Yes"),0)</f>
        <v>1451.8799999999999</v>
      </c>
      <c r="M43" s="14">
        <f>IFERROR(F43*Lists!$L$14*--(INDEX('Employee Master'!$T$10:$T$109,MATCH(B43,'Employee Master'!$A$10:$A$109,0))="Yes"),0)</f>
        <v>122.625</v>
      </c>
      <c r="N43" s="14">
        <f t="shared" si="4"/>
        <v>1574.5049999999999</v>
      </c>
      <c r="O43" s="14">
        <f t="shared" si="5"/>
        <v>15045.495000000001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3">
      <c r="A44" s="16" t="s">
        <v>49</v>
      </c>
      <c r="B44" s="16" t="s">
        <v>321</v>
      </c>
      <c r="C44" s="9" t="str">
        <f>IFERROR(INDEX('Employee Master'!$B$10:$B$109,MATCH(B44,'Employee Master'!$A$10:$A$109,0)),"")</f>
        <v>Naveen M</v>
      </c>
      <c r="D44" s="9" t="str">
        <f>IFERROR(INDEX('Employee Master'!$H$10:$H$109,MATCH(B44,'Employee Master'!$A$10:$A$109,0)),"")</f>
        <v>Sales &amp; Marketing</v>
      </c>
      <c r="E44" s="14">
        <f>IFERROR(INDEX('Employee Master'!$Q$10:$Q$109,MATCH(B44,'Employee Master'!$A$10:$A$109,0)),0)</f>
        <v>13298</v>
      </c>
      <c r="F44" s="14">
        <f>IFERROR(INDEX('Employee Master'!$R$10:$R$109,MATCH(B44,'Employee Master'!$A$10:$A$109,0)),0)</f>
        <v>17950</v>
      </c>
      <c r="G44" s="16">
        <v>22</v>
      </c>
      <c r="H44" s="16">
        <v>1</v>
      </c>
      <c r="I44" s="14">
        <f t="shared" si="3"/>
        <v>598.33333333333337</v>
      </c>
      <c r="J44" s="14">
        <f>SUMIFS('OT Tracker'!$G$10:$G$209,'OT Tracker'!$B$10:$B$209,B44)</f>
        <v>180</v>
      </c>
      <c r="K44" s="14">
        <v>0</v>
      </c>
      <c r="L44" s="14">
        <f>IFERROR(E44*Lists!$L$13*--(INDEX('Employee Master'!$S$10:$S$109,MATCH(B44,'Employee Master'!$A$10:$A$109,0))="Yes"),0)</f>
        <v>0</v>
      </c>
      <c r="M44" s="14">
        <f>IFERROR(F44*Lists!$L$14*--(INDEX('Employee Master'!$T$10:$T$109,MATCH(B44,'Employee Master'!$A$10:$A$109,0))="Yes"),0)</f>
        <v>134.625</v>
      </c>
      <c r="N44" s="14">
        <f t="shared" si="4"/>
        <v>732.95833333333337</v>
      </c>
      <c r="O44" s="14">
        <f t="shared" si="5"/>
        <v>17397.041666666668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3">
      <c r="A45" s="16" t="s">
        <v>49</v>
      </c>
      <c r="B45" s="16" t="s">
        <v>322</v>
      </c>
      <c r="C45" s="9" t="str">
        <f>IFERROR(INDEX('Employee Master'!$B$10:$B$109,MATCH(B45,'Employee Master'!$A$10:$A$109,0)),"")</f>
        <v>Kavitha K</v>
      </c>
      <c r="D45" s="9" t="str">
        <f>IFERROR(INDEX('Employee Master'!$H$10:$H$109,MATCH(B45,'Employee Master'!$A$10:$A$109,0)),"")</f>
        <v>IT &amp; Systems</v>
      </c>
      <c r="E45" s="14">
        <f>IFERROR(INDEX('Employee Master'!$Q$10:$Q$109,MATCH(B45,'Employee Master'!$A$10:$A$109,0)),0)</f>
        <v>22308</v>
      </c>
      <c r="F45" s="14">
        <f>IFERROR(INDEX('Employee Master'!$R$10:$R$109,MATCH(B45,'Employee Master'!$A$10:$A$109,0)),0)</f>
        <v>30100</v>
      </c>
      <c r="G45" s="16">
        <v>24</v>
      </c>
      <c r="H45" s="16">
        <v>2</v>
      </c>
      <c r="I45" s="14">
        <f t="shared" si="3"/>
        <v>2006.6666666666667</v>
      </c>
      <c r="J45" s="14">
        <f>SUMIFS('OT Tracker'!$G$10:$G$209,'OT Tracker'!$B$10:$B$209,B45)</f>
        <v>180</v>
      </c>
      <c r="K45" s="14">
        <v>0</v>
      </c>
      <c r="L45" s="14">
        <f>IFERROR(E45*Lists!$L$13*--(INDEX('Employee Master'!$S$10:$S$109,MATCH(B45,'Employee Master'!$A$10:$A$109,0))="Yes"),0)</f>
        <v>0</v>
      </c>
      <c r="M45" s="14">
        <f>IFERROR(F45*Lists!$L$14*--(INDEX('Employee Master'!$T$10:$T$109,MATCH(B45,'Employee Master'!$A$10:$A$109,0))="Yes"),0)</f>
        <v>0</v>
      </c>
      <c r="N45" s="14">
        <f t="shared" si="4"/>
        <v>2006.6666666666667</v>
      </c>
      <c r="O45" s="14">
        <f t="shared" si="5"/>
        <v>28273.333333333332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3">
      <c r="A46" s="16" t="s">
        <v>51</v>
      </c>
      <c r="B46" s="16" t="s">
        <v>339</v>
      </c>
      <c r="C46" s="9" t="str">
        <f>IFERROR(INDEX('Employee Master'!$B$10:$B$109,MATCH(B46,'Employee Master'!$A$10:$A$109,0)),"")</f>
        <v/>
      </c>
      <c r="D46" s="9" t="str">
        <f>IFERROR(INDEX('Employee Master'!$H$10:$H$109,MATCH(B46,'Employee Master'!$A$10:$A$109,0)),"")</f>
        <v/>
      </c>
      <c r="E46" s="14">
        <f>IFERROR(INDEX('Employee Master'!$Q$10:$Q$109,MATCH(B46,'Employee Master'!$A$10:$A$109,0)),0)</f>
        <v>0</v>
      </c>
      <c r="F46" s="14">
        <f>IFERROR(INDEX('Employee Master'!$R$10:$R$109,MATCH(B46,'Employee Master'!$A$10:$A$109,0)),0)</f>
        <v>0</v>
      </c>
      <c r="G46" s="16">
        <v>26</v>
      </c>
      <c r="H46" s="16">
        <v>2</v>
      </c>
      <c r="I46" s="14">
        <f t="shared" si="3"/>
        <v>0</v>
      </c>
      <c r="J46" s="14">
        <f>SUMIFS('OT Tracker'!$G$10:$G$209,'OT Tracker'!$B$10:$B$209,B46)</f>
        <v>270</v>
      </c>
      <c r="K46" s="14">
        <v>0</v>
      </c>
      <c r="L46" s="14">
        <f>IFERROR(E46*Lists!$L$13*--(INDEX('Employee Master'!$S$10:$S$109,MATCH(B46,'Employee Master'!$A$10:$A$109,0))="Yes"),0)</f>
        <v>0</v>
      </c>
      <c r="M46" s="14">
        <f>IFERROR(F46*Lists!$L$14*--(INDEX('Employee Master'!$T$10:$T$109,MATCH(B46,'Employee Master'!$A$10:$A$109,0))="Yes"),0)</f>
        <v>0</v>
      </c>
      <c r="N46" s="14">
        <f t="shared" si="4"/>
        <v>0</v>
      </c>
      <c r="O46" s="14">
        <f t="shared" si="5"/>
        <v>270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3">
      <c r="A47" s="16" t="s">
        <v>51</v>
      </c>
      <c r="B47" s="16" t="s">
        <v>340</v>
      </c>
      <c r="C47" s="9" t="str">
        <f>IFERROR(INDEX('Employee Master'!$B$10:$B$109,MATCH(B47,'Employee Master'!$A$10:$A$109,0)),"")</f>
        <v/>
      </c>
      <c r="D47" s="9" t="str">
        <f>IFERROR(INDEX('Employee Master'!$H$10:$H$109,MATCH(B47,'Employee Master'!$A$10:$A$109,0)),"")</f>
        <v/>
      </c>
      <c r="E47" s="14">
        <f>IFERROR(INDEX('Employee Master'!$Q$10:$Q$109,MATCH(B47,'Employee Master'!$A$10:$A$109,0)),0)</f>
        <v>0</v>
      </c>
      <c r="F47" s="14">
        <f>IFERROR(INDEX('Employee Master'!$R$10:$R$109,MATCH(B47,'Employee Master'!$A$10:$A$109,0)),0)</f>
        <v>0</v>
      </c>
      <c r="G47" s="16">
        <v>23</v>
      </c>
      <c r="H47" s="16">
        <v>0</v>
      </c>
      <c r="I47" s="14">
        <f t="shared" si="3"/>
        <v>0</v>
      </c>
      <c r="J47" s="14">
        <f>SUMIFS('OT Tracker'!$G$10:$G$209,'OT Tracker'!$B$10:$B$209,B47)</f>
        <v>225</v>
      </c>
      <c r="K47" s="14">
        <v>0</v>
      </c>
      <c r="L47" s="14">
        <f>IFERROR(E47*Lists!$L$13*--(INDEX('Employee Master'!$S$10:$S$109,MATCH(B47,'Employee Master'!$A$10:$A$109,0))="Yes"),0)</f>
        <v>0</v>
      </c>
      <c r="M47" s="14">
        <f>IFERROR(F47*Lists!$L$14*--(INDEX('Employee Master'!$T$10:$T$109,MATCH(B47,'Employee Master'!$A$10:$A$109,0))="Yes"),0)</f>
        <v>0</v>
      </c>
      <c r="N47" s="14">
        <f t="shared" si="4"/>
        <v>0</v>
      </c>
      <c r="O47" s="14">
        <f t="shared" si="5"/>
        <v>225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3">
      <c r="A48" s="16" t="s">
        <v>51</v>
      </c>
      <c r="B48" s="16" t="s">
        <v>341</v>
      </c>
      <c r="C48" s="9" t="str">
        <f>IFERROR(INDEX('Employee Master'!$B$10:$B$109,MATCH(B48,'Employee Master'!$A$10:$A$109,0)),"")</f>
        <v/>
      </c>
      <c r="D48" s="9" t="str">
        <f>IFERROR(INDEX('Employee Master'!$H$10:$H$109,MATCH(B48,'Employee Master'!$A$10:$A$109,0)),"")</f>
        <v/>
      </c>
      <c r="E48" s="14">
        <f>IFERROR(INDEX('Employee Master'!$Q$10:$Q$109,MATCH(B48,'Employee Master'!$A$10:$A$109,0)),0)</f>
        <v>0</v>
      </c>
      <c r="F48" s="14">
        <f>IFERROR(INDEX('Employee Master'!$R$10:$R$109,MATCH(B48,'Employee Master'!$A$10:$A$109,0)),0)</f>
        <v>0</v>
      </c>
      <c r="G48" s="16">
        <v>26</v>
      </c>
      <c r="H48" s="16">
        <v>0</v>
      </c>
      <c r="I48" s="14">
        <f t="shared" si="3"/>
        <v>0</v>
      </c>
      <c r="J48" s="14">
        <f>SUMIFS('OT Tracker'!$G$10:$G$209,'OT Tracker'!$B$10:$B$209,B48)</f>
        <v>90</v>
      </c>
      <c r="K48" s="14">
        <v>0</v>
      </c>
      <c r="L48" s="14">
        <f>IFERROR(E48*Lists!$L$13*--(INDEX('Employee Master'!$S$10:$S$109,MATCH(B48,'Employee Master'!$A$10:$A$109,0))="Yes"),0)</f>
        <v>0</v>
      </c>
      <c r="M48" s="14">
        <f>IFERROR(F48*Lists!$L$14*--(INDEX('Employee Master'!$T$10:$T$109,MATCH(B48,'Employee Master'!$A$10:$A$109,0))="Yes"),0)</f>
        <v>0</v>
      </c>
      <c r="N48" s="14">
        <f t="shared" si="4"/>
        <v>0</v>
      </c>
      <c r="O48" s="14">
        <f t="shared" si="5"/>
        <v>90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3">
      <c r="A49" s="16" t="s">
        <v>51</v>
      </c>
      <c r="B49" s="16" t="s">
        <v>342</v>
      </c>
      <c r="C49" s="9" t="str">
        <f>IFERROR(INDEX('Employee Master'!$B$10:$B$109,MATCH(B49,'Employee Master'!$A$10:$A$109,0)),"")</f>
        <v/>
      </c>
      <c r="D49" s="9" t="str">
        <f>IFERROR(INDEX('Employee Master'!$H$10:$H$109,MATCH(B49,'Employee Master'!$A$10:$A$109,0)),"")</f>
        <v/>
      </c>
      <c r="E49" s="14">
        <f>IFERROR(INDEX('Employee Master'!$Q$10:$Q$109,MATCH(B49,'Employee Master'!$A$10:$A$109,0)),0)</f>
        <v>0</v>
      </c>
      <c r="F49" s="14">
        <f>IFERROR(INDEX('Employee Master'!$R$10:$R$109,MATCH(B49,'Employee Master'!$A$10:$A$109,0)),0)</f>
        <v>0</v>
      </c>
      <c r="G49" s="16">
        <v>26</v>
      </c>
      <c r="H49" s="16">
        <v>0</v>
      </c>
      <c r="I49" s="14">
        <f t="shared" si="3"/>
        <v>0</v>
      </c>
      <c r="J49" s="14">
        <f>SUMIFS('OT Tracker'!$G$10:$G$209,'OT Tracker'!$B$10:$B$209,B49)</f>
        <v>270</v>
      </c>
      <c r="K49" s="14">
        <v>0</v>
      </c>
      <c r="L49" s="14">
        <f>IFERROR(E49*Lists!$L$13*--(INDEX('Employee Master'!$S$10:$S$109,MATCH(B49,'Employee Master'!$A$10:$A$109,0))="Yes"),0)</f>
        <v>0</v>
      </c>
      <c r="M49" s="14">
        <f>IFERROR(F49*Lists!$L$14*--(INDEX('Employee Master'!$T$10:$T$109,MATCH(B49,'Employee Master'!$A$10:$A$109,0))="Yes"),0)</f>
        <v>0</v>
      </c>
      <c r="N49" s="14">
        <f t="shared" si="4"/>
        <v>0</v>
      </c>
      <c r="O49" s="14">
        <f t="shared" si="5"/>
        <v>270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3">
      <c r="A50" s="16" t="s">
        <v>51</v>
      </c>
      <c r="B50" s="16" t="s">
        <v>343</v>
      </c>
      <c r="C50" s="9" t="str">
        <f>IFERROR(INDEX('Employee Master'!$B$10:$B$109,MATCH(B50,'Employee Master'!$A$10:$A$109,0)),"")</f>
        <v/>
      </c>
      <c r="D50" s="9" t="str">
        <f>IFERROR(INDEX('Employee Master'!$H$10:$H$109,MATCH(B50,'Employee Master'!$A$10:$A$109,0)),"")</f>
        <v/>
      </c>
      <c r="E50" s="14">
        <f>IFERROR(INDEX('Employee Master'!$Q$10:$Q$109,MATCH(B50,'Employee Master'!$A$10:$A$109,0)),0)</f>
        <v>0</v>
      </c>
      <c r="F50" s="14">
        <f>IFERROR(INDEX('Employee Master'!$R$10:$R$109,MATCH(B50,'Employee Master'!$A$10:$A$109,0)),0)</f>
        <v>0</v>
      </c>
      <c r="G50" s="16">
        <v>23</v>
      </c>
      <c r="H50" s="16">
        <v>0</v>
      </c>
      <c r="I50" s="14">
        <f t="shared" si="3"/>
        <v>0</v>
      </c>
      <c r="J50" s="14">
        <f>SUMIFS('OT Tracker'!$G$10:$G$209,'OT Tracker'!$B$10:$B$209,B50)</f>
        <v>120</v>
      </c>
      <c r="K50" s="14">
        <v>0</v>
      </c>
      <c r="L50" s="14">
        <f>IFERROR(E50*Lists!$L$13*--(INDEX('Employee Master'!$S$10:$S$109,MATCH(B50,'Employee Master'!$A$10:$A$109,0))="Yes"),0)</f>
        <v>0</v>
      </c>
      <c r="M50" s="14">
        <f>IFERROR(F50*Lists!$L$14*--(INDEX('Employee Master'!$T$10:$T$109,MATCH(B50,'Employee Master'!$A$10:$A$109,0))="Yes"),0)</f>
        <v>0</v>
      </c>
      <c r="N50" s="14">
        <f t="shared" si="4"/>
        <v>0</v>
      </c>
      <c r="O50" s="14">
        <f t="shared" si="5"/>
        <v>120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 x14ac:dyDescent="0.3">
      <c r="A51" s="16" t="s">
        <v>51</v>
      </c>
      <c r="B51" s="16" t="s">
        <v>344</v>
      </c>
      <c r="C51" s="9" t="str">
        <f>IFERROR(INDEX('Employee Master'!$B$10:$B$109,MATCH(B51,'Employee Master'!$A$10:$A$109,0)),"")</f>
        <v/>
      </c>
      <c r="D51" s="9" t="str">
        <f>IFERROR(INDEX('Employee Master'!$H$10:$H$109,MATCH(B51,'Employee Master'!$A$10:$A$109,0)),"")</f>
        <v/>
      </c>
      <c r="E51" s="14">
        <f>IFERROR(INDEX('Employee Master'!$Q$10:$Q$109,MATCH(B51,'Employee Master'!$A$10:$A$109,0)),0)</f>
        <v>0</v>
      </c>
      <c r="F51" s="14">
        <f>IFERROR(INDEX('Employee Master'!$R$10:$R$109,MATCH(B51,'Employee Master'!$A$10:$A$109,0)),0)</f>
        <v>0</v>
      </c>
      <c r="G51" s="16">
        <v>26</v>
      </c>
      <c r="H51" s="16">
        <v>0</v>
      </c>
      <c r="I51" s="14">
        <f t="shared" si="3"/>
        <v>0</v>
      </c>
      <c r="J51" s="14">
        <f>SUMIFS('OT Tracker'!$G$10:$G$209,'OT Tracker'!$B$10:$B$209,B51)</f>
        <v>360</v>
      </c>
      <c r="K51" s="14">
        <v>0</v>
      </c>
      <c r="L51" s="14">
        <f>IFERROR(E51*Lists!$L$13*--(INDEX('Employee Master'!$S$10:$S$109,MATCH(B51,'Employee Master'!$A$10:$A$109,0))="Yes"),0)</f>
        <v>0</v>
      </c>
      <c r="M51" s="14">
        <f>IFERROR(F51*Lists!$L$14*--(INDEX('Employee Master'!$T$10:$T$109,MATCH(B51,'Employee Master'!$A$10:$A$109,0))="Yes"),0)</f>
        <v>0</v>
      </c>
      <c r="N51" s="14">
        <f t="shared" si="4"/>
        <v>0</v>
      </c>
      <c r="O51" s="14">
        <f t="shared" si="5"/>
        <v>360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5" x14ac:dyDescent="0.3">
      <c r="A52" s="16" t="s">
        <v>51</v>
      </c>
      <c r="B52" s="16" t="s">
        <v>345</v>
      </c>
      <c r="C52" s="9" t="str">
        <f>IFERROR(INDEX('Employee Master'!$B$10:$B$109,MATCH(B52,'Employee Master'!$A$10:$A$109,0)),"")</f>
        <v/>
      </c>
      <c r="D52" s="9" t="str">
        <f>IFERROR(INDEX('Employee Master'!$H$10:$H$109,MATCH(B52,'Employee Master'!$A$10:$A$109,0)),"")</f>
        <v/>
      </c>
      <c r="E52" s="14">
        <f>IFERROR(INDEX('Employee Master'!$Q$10:$Q$109,MATCH(B52,'Employee Master'!$A$10:$A$109,0)),0)</f>
        <v>0</v>
      </c>
      <c r="F52" s="14">
        <f>IFERROR(INDEX('Employee Master'!$R$10:$R$109,MATCH(B52,'Employee Master'!$A$10:$A$109,0)),0)</f>
        <v>0</v>
      </c>
      <c r="G52" s="16">
        <v>25</v>
      </c>
      <c r="H52" s="16">
        <v>0</v>
      </c>
      <c r="I52" s="14">
        <f t="shared" si="3"/>
        <v>0</v>
      </c>
      <c r="J52" s="14">
        <f>SUMIFS('OT Tracker'!$G$10:$G$209,'OT Tracker'!$B$10:$B$209,B52)</f>
        <v>300</v>
      </c>
      <c r="K52" s="14">
        <v>0</v>
      </c>
      <c r="L52" s="14">
        <f>IFERROR(E52*Lists!$L$13*--(INDEX('Employee Master'!$S$10:$S$109,MATCH(B52,'Employee Master'!$A$10:$A$109,0))="Yes"),0)</f>
        <v>0</v>
      </c>
      <c r="M52" s="14">
        <f>IFERROR(F52*Lists!$L$14*--(INDEX('Employee Master'!$T$10:$T$109,MATCH(B52,'Employee Master'!$A$10:$A$109,0))="Yes"),0)</f>
        <v>0</v>
      </c>
      <c r="N52" s="14">
        <f t="shared" si="4"/>
        <v>0</v>
      </c>
      <c r="O52" s="14">
        <f t="shared" si="5"/>
        <v>300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1:35" x14ac:dyDescent="0.3">
      <c r="A53" s="16" t="s">
        <v>51</v>
      </c>
      <c r="B53" s="16" t="s">
        <v>346</v>
      </c>
      <c r="C53" s="9" t="str">
        <f>IFERROR(INDEX('Employee Master'!$B$10:$B$109,MATCH(B53,'Employee Master'!$A$10:$A$109,0)),"")</f>
        <v/>
      </c>
      <c r="D53" s="9" t="str">
        <f>IFERROR(INDEX('Employee Master'!$H$10:$H$109,MATCH(B53,'Employee Master'!$A$10:$A$109,0)),"")</f>
        <v/>
      </c>
      <c r="E53" s="14">
        <f>IFERROR(INDEX('Employee Master'!$Q$10:$Q$109,MATCH(B53,'Employee Master'!$A$10:$A$109,0)),0)</f>
        <v>0</v>
      </c>
      <c r="F53" s="14">
        <f>IFERROR(INDEX('Employee Master'!$R$10:$R$109,MATCH(B53,'Employee Master'!$A$10:$A$109,0)),0)</f>
        <v>0</v>
      </c>
      <c r="G53" s="16">
        <v>23</v>
      </c>
      <c r="H53" s="16">
        <v>0</v>
      </c>
      <c r="I53" s="14">
        <f t="shared" si="3"/>
        <v>0</v>
      </c>
      <c r="J53" s="14">
        <f>SUMIFS('OT Tracker'!$G$10:$G$209,'OT Tracker'!$B$10:$B$209,B53)</f>
        <v>120</v>
      </c>
      <c r="K53" s="14">
        <v>0</v>
      </c>
      <c r="L53" s="14">
        <f>IFERROR(E53*Lists!$L$13*--(INDEX('Employee Master'!$S$10:$S$109,MATCH(B53,'Employee Master'!$A$10:$A$109,0))="Yes"),0)</f>
        <v>0</v>
      </c>
      <c r="M53" s="14">
        <f>IFERROR(F53*Lists!$L$14*--(INDEX('Employee Master'!$T$10:$T$109,MATCH(B53,'Employee Master'!$A$10:$A$109,0))="Yes"),0)</f>
        <v>0</v>
      </c>
      <c r="N53" s="14">
        <f t="shared" si="4"/>
        <v>0</v>
      </c>
      <c r="O53" s="14">
        <f t="shared" si="5"/>
        <v>120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1:35" x14ac:dyDescent="0.3">
      <c r="A54" s="16" t="s">
        <v>51</v>
      </c>
      <c r="B54" s="16" t="s">
        <v>347</v>
      </c>
      <c r="C54" s="9" t="str">
        <f>IFERROR(INDEX('Employee Master'!$B$10:$B$109,MATCH(B54,'Employee Master'!$A$10:$A$109,0)),"")</f>
        <v/>
      </c>
      <c r="D54" s="9" t="str">
        <f>IFERROR(INDEX('Employee Master'!$H$10:$H$109,MATCH(B54,'Employee Master'!$A$10:$A$109,0)),"")</f>
        <v/>
      </c>
      <c r="E54" s="14">
        <f>IFERROR(INDEX('Employee Master'!$Q$10:$Q$109,MATCH(B54,'Employee Master'!$A$10:$A$109,0)),0)</f>
        <v>0</v>
      </c>
      <c r="F54" s="14">
        <f>IFERROR(INDEX('Employee Master'!$R$10:$R$109,MATCH(B54,'Employee Master'!$A$10:$A$109,0)),0)</f>
        <v>0</v>
      </c>
      <c r="G54" s="16">
        <v>26</v>
      </c>
      <c r="H54" s="16">
        <v>0</v>
      </c>
      <c r="I54" s="14">
        <f t="shared" si="3"/>
        <v>0</v>
      </c>
      <c r="J54" s="14">
        <f>SUMIFS('OT Tracker'!$G$10:$G$209,'OT Tracker'!$B$10:$B$209,B54)</f>
        <v>180</v>
      </c>
      <c r="K54" s="14">
        <v>0</v>
      </c>
      <c r="L54" s="14">
        <f>IFERROR(E54*Lists!$L$13*--(INDEX('Employee Master'!$S$10:$S$109,MATCH(B54,'Employee Master'!$A$10:$A$109,0))="Yes"),0)</f>
        <v>0</v>
      </c>
      <c r="M54" s="14">
        <f>IFERROR(F54*Lists!$L$14*--(INDEX('Employee Master'!$T$10:$T$109,MATCH(B54,'Employee Master'!$A$10:$A$109,0))="Yes"),0)</f>
        <v>0</v>
      </c>
      <c r="N54" s="14">
        <f t="shared" si="4"/>
        <v>0</v>
      </c>
      <c r="O54" s="14">
        <f t="shared" si="5"/>
        <v>180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1:35" x14ac:dyDescent="0.3">
      <c r="A55" s="16" t="s">
        <v>51</v>
      </c>
      <c r="B55" s="16" t="s">
        <v>348</v>
      </c>
      <c r="C55" s="9" t="str">
        <f>IFERROR(INDEX('Employee Master'!$B$10:$B$109,MATCH(B55,'Employee Master'!$A$10:$A$109,0)),"")</f>
        <v/>
      </c>
      <c r="D55" s="9" t="str">
        <f>IFERROR(INDEX('Employee Master'!$H$10:$H$109,MATCH(B55,'Employee Master'!$A$10:$A$109,0)),"")</f>
        <v/>
      </c>
      <c r="E55" s="14">
        <f>IFERROR(INDEX('Employee Master'!$Q$10:$Q$109,MATCH(B55,'Employee Master'!$A$10:$A$109,0)),0)</f>
        <v>0</v>
      </c>
      <c r="F55" s="14">
        <f>IFERROR(INDEX('Employee Master'!$R$10:$R$109,MATCH(B55,'Employee Master'!$A$10:$A$109,0)),0)</f>
        <v>0</v>
      </c>
      <c r="G55" s="16">
        <v>22</v>
      </c>
      <c r="H55" s="16">
        <v>0</v>
      </c>
      <c r="I55" s="14">
        <f t="shared" si="3"/>
        <v>0</v>
      </c>
      <c r="J55" s="14">
        <f>SUMIFS('OT Tracker'!$G$10:$G$209,'OT Tracker'!$B$10:$B$209,B55)</f>
        <v>0</v>
      </c>
      <c r="K55" s="14">
        <v>0</v>
      </c>
      <c r="L55" s="14">
        <f>IFERROR(E55*Lists!$L$13*--(INDEX('Employee Master'!$S$10:$S$109,MATCH(B55,'Employee Master'!$A$10:$A$109,0))="Yes"),0)</f>
        <v>0</v>
      </c>
      <c r="M55" s="14">
        <f>IFERROR(F55*Lists!$L$14*--(INDEX('Employee Master'!$T$10:$T$109,MATCH(B55,'Employee Master'!$A$10:$A$109,0))="Yes"),0)</f>
        <v>0</v>
      </c>
      <c r="N55" s="14">
        <f t="shared" si="4"/>
        <v>0</v>
      </c>
      <c r="O55" s="14">
        <f t="shared" si="5"/>
        <v>0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1:35" x14ac:dyDescent="0.3">
      <c r="A56" s="16" t="s">
        <v>51</v>
      </c>
      <c r="B56" s="16" t="s">
        <v>349</v>
      </c>
      <c r="C56" s="9" t="str">
        <f>IFERROR(INDEX('Employee Master'!$B$10:$B$109,MATCH(B56,'Employee Master'!$A$10:$A$109,0)),"")</f>
        <v/>
      </c>
      <c r="D56" s="9" t="str">
        <f>IFERROR(INDEX('Employee Master'!$H$10:$H$109,MATCH(B56,'Employee Master'!$A$10:$A$109,0)),"")</f>
        <v/>
      </c>
      <c r="E56" s="14">
        <f>IFERROR(INDEX('Employee Master'!$Q$10:$Q$109,MATCH(B56,'Employee Master'!$A$10:$A$109,0)),0)</f>
        <v>0</v>
      </c>
      <c r="F56" s="14">
        <f>IFERROR(INDEX('Employee Master'!$R$10:$R$109,MATCH(B56,'Employee Master'!$A$10:$A$109,0)),0)</f>
        <v>0</v>
      </c>
      <c r="G56" s="16">
        <v>25</v>
      </c>
      <c r="H56" s="16">
        <v>0</v>
      </c>
      <c r="I56" s="14">
        <f t="shared" si="3"/>
        <v>0</v>
      </c>
      <c r="J56" s="14">
        <f>SUMIFS('OT Tracker'!$G$10:$G$209,'OT Tracker'!$B$10:$B$209,B56)</f>
        <v>0</v>
      </c>
      <c r="K56" s="14">
        <v>0</v>
      </c>
      <c r="L56" s="14">
        <f>IFERROR(E56*Lists!$L$13*--(INDEX('Employee Master'!$S$10:$S$109,MATCH(B56,'Employee Master'!$A$10:$A$109,0))="Yes"),0)</f>
        <v>0</v>
      </c>
      <c r="M56" s="14">
        <f>IFERROR(F56*Lists!$L$14*--(INDEX('Employee Master'!$T$10:$T$109,MATCH(B56,'Employee Master'!$A$10:$A$109,0))="Yes"),0)</f>
        <v>0</v>
      </c>
      <c r="N56" s="14">
        <f t="shared" si="4"/>
        <v>0</v>
      </c>
      <c r="O56" s="14">
        <f t="shared" si="5"/>
        <v>0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1:35" x14ac:dyDescent="0.3">
      <c r="A57" s="16" t="s">
        <v>51</v>
      </c>
      <c r="B57" s="16" t="s">
        <v>350</v>
      </c>
      <c r="C57" s="9" t="str">
        <f>IFERROR(INDEX('Employee Master'!$B$10:$B$109,MATCH(B57,'Employee Master'!$A$10:$A$109,0)),"")</f>
        <v/>
      </c>
      <c r="D57" s="9" t="str">
        <f>IFERROR(INDEX('Employee Master'!$H$10:$H$109,MATCH(B57,'Employee Master'!$A$10:$A$109,0)),"")</f>
        <v/>
      </c>
      <c r="E57" s="14">
        <f>IFERROR(INDEX('Employee Master'!$Q$10:$Q$109,MATCH(B57,'Employee Master'!$A$10:$A$109,0)),0)</f>
        <v>0</v>
      </c>
      <c r="F57" s="14">
        <f>IFERROR(INDEX('Employee Master'!$R$10:$R$109,MATCH(B57,'Employee Master'!$A$10:$A$109,0)),0)</f>
        <v>0</v>
      </c>
      <c r="G57" s="16">
        <v>23</v>
      </c>
      <c r="H57" s="16">
        <v>2</v>
      </c>
      <c r="I57" s="14">
        <f t="shared" si="3"/>
        <v>0</v>
      </c>
      <c r="J57" s="14">
        <f>SUMIFS('OT Tracker'!$G$10:$G$209,'OT Tracker'!$B$10:$B$209,B57)</f>
        <v>0</v>
      </c>
      <c r="K57" s="14">
        <v>0</v>
      </c>
      <c r="L57" s="14">
        <f>IFERROR(E57*Lists!$L$13*--(INDEX('Employee Master'!$S$10:$S$109,MATCH(B57,'Employee Master'!$A$10:$A$109,0))="Yes"),0)</f>
        <v>0</v>
      </c>
      <c r="M57" s="14">
        <f>IFERROR(F57*Lists!$L$14*--(INDEX('Employee Master'!$T$10:$T$109,MATCH(B57,'Employee Master'!$A$10:$A$109,0))="Yes"),0)</f>
        <v>0</v>
      </c>
      <c r="N57" s="14">
        <f t="shared" si="4"/>
        <v>0</v>
      </c>
      <c r="O57" s="14">
        <f t="shared" si="5"/>
        <v>0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x14ac:dyDescent="0.3">
      <c r="A58" s="16" t="s">
        <v>51</v>
      </c>
      <c r="B58" s="16" t="s">
        <v>351</v>
      </c>
      <c r="C58" s="9" t="str">
        <f>IFERROR(INDEX('Employee Master'!$B$10:$B$109,MATCH(B58,'Employee Master'!$A$10:$A$109,0)),"")</f>
        <v/>
      </c>
      <c r="D58" s="9" t="str">
        <f>IFERROR(INDEX('Employee Master'!$H$10:$H$109,MATCH(B58,'Employee Master'!$A$10:$A$109,0)),"")</f>
        <v/>
      </c>
      <c r="E58" s="14">
        <f>IFERROR(INDEX('Employee Master'!$Q$10:$Q$109,MATCH(B58,'Employee Master'!$A$10:$A$109,0)),0)</f>
        <v>0</v>
      </c>
      <c r="F58" s="14">
        <f>IFERROR(INDEX('Employee Master'!$R$10:$R$109,MATCH(B58,'Employee Master'!$A$10:$A$109,0)),0)</f>
        <v>0</v>
      </c>
      <c r="G58" s="16">
        <v>24</v>
      </c>
      <c r="H58" s="16">
        <v>2</v>
      </c>
      <c r="I58" s="14">
        <f t="shared" si="3"/>
        <v>0</v>
      </c>
      <c r="J58" s="14">
        <f>SUMIFS('OT Tracker'!$G$10:$G$209,'OT Tracker'!$B$10:$B$209,B58)</f>
        <v>0</v>
      </c>
      <c r="K58" s="14">
        <v>0</v>
      </c>
      <c r="L58" s="14">
        <f>IFERROR(E58*Lists!$L$13*--(INDEX('Employee Master'!$S$10:$S$109,MATCH(B58,'Employee Master'!$A$10:$A$109,0))="Yes"),0)</f>
        <v>0</v>
      </c>
      <c r="M58" s="14">
        <f>IFERROR(F58*Lists!$L$14*--(INDEX('Employee Master'!$T$10:$T$109,MATCH(B58,'Employee Master'!$A$10:$A$109,0))="Yes"),0)</f>
        <v>0</v>
      </c>
      <c r="N58" s="14">
        <f t="shared" si="4"/>
        <v>0</v>
      </c>
      <c r="O58" s="14">
        <f t="shared" si="5"/>
        <v>0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1:35" x14ac:dyDescent="0.3">
      <c r="A59" s="16" t="s">
        <v>51</v>
      </c>
      <c r="B59" s="16" t="s">
        <v>352</v>
      </c>
      <c r="C59" s="9" t="str">
        <f>IFERROR(INDEX('Employee Master'!$B$10:$B$109,MATCH(B59,'Employee Master'!$A$10:$A$109,0)),"")</f>
        <v/>
      </c>
      <c r="D59" s="9" t="str">
        <f>IFERROR(INDEX('Employee Master'!$H$10:$H$109,MATCH(B59,'Employee Master'!$A$10:$A$109,0)),"")</f>
        <v/>
      </c>
      <c r="E59" s="14">
        <f>IFERROR(INDEX('Employee Master'!$Q$10:$Q$109,MATCH(B59,'Employee Master'!$A$10:$A$109,0)),0)</f>
        <v>0</v>
      </c>
      <c r="F59" s="14">
        <f>IFERROR(INDEX('Employee Master'!$R$10:$R$109,MATCH(B59,'Employee Master'!$A$10:$A$109,0)),0)</f>
        <v>0</v>
      </c>
      <c r="G59" s="16">
        <v>26</v>
      </c>
      <c r="H59" s="16">
        <v>1</v>
      </c>
      <c r="I59" s="14">
        <f t="shared" si="3"/>
        <v>0</v>
      </c>
      <c r="J59" s="14">
        <f>SUMIFS('OT Tracker'!$G$10:$G$209,'OT Tracker'!$B$10:$B$209,B59)</f>
        <v>0</v>
      </c>
      <c r="K59" s="14">
        <v>0</v>
      </c>
      <c r="L59" s="14">
        <f>IFERROR(E59*Lists!$L$13*--(INDEX('Employee Master'!$S$10:$S$109,MATCH(B59,'Employee Master'!$A$10:$A$109,0))="Yes"),0)</f>
        <v>0</v>
      </c>
      <c r="M59" s="14">
        <f>IFERROR(F59*Lists!$L$14*--(INDEX('Employee Master'!$T$10:$T$109,MATCH(B59,'Employee Master'!$A$10:$A$109,0))="Yes"),0)</f>
        <v>0</v>
      </c>
      <c r="N59" s="14">
        <f t="shared" si="4"/>
        <v>0</v>
      </c>
      <c r="O59" s="14">
        <f t="shared" si="5"/>
        <v>0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1:35" x14ac:dyDescent="0.3">
      <c r="A60" s="16" t="s">
        <v>51</v>
      </c>
      <c r="B60" s="16" t="s">
        <v>353</v>
      </c>
      <c r="C60" s="9" t="str">
        <f>IFERROR(INDEX('Employee Master'!$B$10:$B$109,MATCH(B60,'Employee Master'!$A$10:$A$109,0)),"")</f>
        <v/>
      </c>
      <c r="D60" s="9" t="str">
        <f>IFERROR(INDEX('Employee Master'!$H$10:$H$109,MATCH(B60,'Employee Master'!$A$10:$A$109,0)),"")</f>
        <v/>
      </c>
      <c r="E60" s="14">
        <f>IFERROR(INDEX('Employee Master'!$Q$10:$Q$109,MATCH(B60,'Employee Master'!$A$10:$A$109,0)),0)</f>
        <v>0</v>
      </c>
      <c r="F60" s="14">
        <f>IFERROR(INDEX('Employee Master'!$R$10:$R$109,MATCH(B60,'Employee Master'!$A$10:$A$109,0)),0)</f>
        <v>0</v>
      </c>
      <c r="G60" s="16">
        <v>26</v>
      </c>
      <c r="H60" s="16">
        <v>0</v>
      </c>
      <c r="I60" s="14">
        <f t="shared" si="3"/>
        <v>0</v>
      </c>
      <c r="J60" s="14">
        <f>SUMIFS('OT Tracker'!$G$10:$G$209,'OT Tracker'!$B$10:$B$209,B60)</f>
        <v>0</v>
      </c>
      <c r="K60" s="14">
        <v>0</v>
      </c>
      <c r="L60" s="14">
        <f>IFERROR(E60*Lists!$L$13*--(INDEX('Employee Master'!$S$10:$S$109,MATCH(B60,'Employee Master'!$A$10:$A$109,0))="Yes"),0)</f>
        <v>0</v>
      </c>
      <c r="M60" s="14">
        <f>IFERROR(F60*Lists!$L$14*--(INDEX('Employee Master'!$T$10:$T$109,MATCH(B60,'Employee Master'!$A$10:$A$109,0))="Yes"),0)</f>
        <v>0</v>
      </c>
      <c r="N60" s="14">
        <f t="shared" si="4"/>
        <v>0</v>
      </c>
      <c r="O60" s="14">
        <f t="shared" si="5"/>
        <v>0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1:35" x14ac:dyDescent="0.3">
      <c r="A61" s="16" t="s">
        <v>51</v>
      </c>
      <c r="B61" s="16" t="s">
        <v>354</v>
      </c>
      <c r="C61" s="9" t="str">
        <f>IFERROR(INDEX('Employee Master'!$B$10:$B$109,MATCH(B61,'Employee Master'!$A$10:$A$109,0)),"")</f>
        <v/>
      </c>
      <c r="D61" s="9" t="str">
        <f>IFERROR(INDEX('Employee Master'!$H$10:$H$109,MATCH(B61,'Employee Master'!$A$10:$A$109,0)),"")</f>
        <v/>
      </c>
      <c r="E61" s="14">
        <f>IFERROR(INDEX('Employee Master'!$Q$10:$Q$109,MATCH(B61,'Employee Master'!$A$10:$A$109,0)),0)</f>
        <v>0</v>
      </c>
      <c r="F61" s="14">
        <f>IFERROR(INDEX('Employee Master'!$R$10:$R$109,MATCH(B61,'Employee Master'!$A$10:$A$109,0)),0)</f>
        <v>0</v>
      </c>
      <c r="G61" s="16">
        <v>26</v>
      </c>
      <c r="H61" s="16">
        <v>0</v>
      </c>
      <c r="I61" s="14">
        <f t="shared" si="3"/>
        <v>0</v>
      </c>
      <c r="J61" s="14">
        <f>SUMIFS('OT Tracker'!$G$10:$G$209,'OT Tracker'!$B$10:$B$209,B61)</f>
        <v>0</v>
      </c>
      <c r="K61" s="14">
        <v>0</v>
      </c>
      <c r="L61" s="14">
        <f>IFERROR(E61*Lists!$L$13*--(INDEX('Employee Master'!$S$10:$S$109,MATCH(B61,'Employee Master'!$A$10:$A$109,0))="Yes"),0)</f>
        <v>0</v>
      </c>
      <c r="M61" s="14">
        <f>IFERROR(F61*Lists!$L$14*--(INDEX('Employee Master'!$T$10:$T$109,MATCH(B61,'Employee Master'!$A$10:$A$109,0))="Yes"),0)</f>
        <v>0</v>
      </c>
      <c r="N61" s="14">
        <f t="shared" si="4"/>
        <v>0</v>
      </c>
      <c r="O61" s="14">
        <f t="shared" si="5"/>
        <v>0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1:35" x14ac:dyDescent="0.3">
      <c r="A62" s="16" t="s">
        <v>51</v>
      </c>
      <c r="B62" s="16" t="s">
        <v>355</v>
      </c>
      <c r="C62" s="9" t="str">
        <f>IFERROR(INDEX('Employee Master'!$B$10:$B$109,MATCH(B62,'Employee Master'!$A$10:$A$109,0)),"")</f>
        <v/>
      </c>
      <c r="D62" s="9" t="str">
        <f>IFERROR(INDEX('Employee Master'!$H$10:$H$109,MATCH(B62,'Employee Master'!$A$10:$A$109,0)),"")</f>
        <v/>
      </c>
      <c r="E62" s="14">
        <f>IFERROR(INDEX('Employee Master'!$Q$10:$Q$109,MATCH(B62,'Employee Master'!$A$10:$A$109,0)),0)</f>
        <v>0</v>
      </c>
      <c r="F62" s="14">
        <f>IFERROR(INDEX('Employee Master'!$R$10:$R$109,MATCH(B62,'Employee Master'!$A$10:$A$109,0)),0)</f>
        <v>0</v>
      </c>
      <c r="G62" s="16">
        <v>26</v>
      </c>
      <c r="H62" s="16">
        <v>0</v>
      </c>
      <c r="I62" s="14">
        <f t="shared" si="3"/>
        <v>0</v>
      </c>
      <c r="J62" s="14">
        <f>SUMIFS('OT Tracker'!$G$10:$G$209,'OT Tracker'!$B$10:$B$209,B62)</f>
        <v>0</v>
      </c>
      <c r="K62" s="14">
        <v>0</v>
      </c>
      <c r="L62" s="14">
        <f>IFERROR(E62*Lists!$L$13*--(INDEX('Employee Master'!$S$10:$S$109,MATCH(B62,'Employee Master'!$A$10:$A$109,0))="Yes"),0)</f>
        <v>0</v>
      </c>
      <c r="M62" s="14">
        <f>IFERROR(F62*Lists!$L$14*--(INDEX('Employee Master'!$T$10:$T$109,MATCH(B62,'Employee Master'!$A$10:$A$109,0))="Yes"),0)</f>
        <v>0</v>
      </c>
      <c r="N62" s="14">
        <f t="shared" si="4"/>
        <v>0</v>
      </c>
      <c r="O62" s="14">
        <f t="shared" si="5"/>
        <v>0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1:35" x14ac:dyDescent="0.3">
      <c r="A63" s="16" t="s">
        <v>51</v>
      </c>
      <c r="B63" s="16" t="s">
        <v>356</v>
      </c>
      <c r="C63" s="9" t="str">
        <f>IFERROR(INDEX('Employee Master'!$B$10:$B$109,MATCH(B63,'Employee Master'!$A$10:$A$109,0)),"")</f>
        <v/>
      </c>
      <c r="D63" s="9" t="str">
        <f>IFERROR(INDEX('Employee Master'!$H$10:$H$109,MATCH(B63,'Employee Master'!$A$10:$A$109,0)),"")</f>
        <v/>
      </c>
      <c r="E63" s="14">
        <f>IFERROR(INDEX('Employee Master'!$Q$10:$Q$109,MATCH(B63,'Employee Master'!$A$10:$A$109,0)),0)</f>
        <v>0</v>
      </c>
      <c r="F63" s="14">
        <f>IFERROR(INDEX('Employee Master'!$R$10:$R$109,MATCH(B63,'Employee Master'!$A$10:$A$109,0)),0)</f>
        <v>0</v>
      </c>
      <c r="G63" s="16">
        <v>26</v>
      </c>
      <c r="H63" s="16">
        <v>1</v>
      </c>
      <c r="I63" s="14">
        <f t="shared" si="3"/>
        <v>0</v>
      </c>
      <c r="J63" s="14">
        <f>SUMIFS('OT Tracker'!$G$10:$G$209,'OT Tracker'!$B$10:$B$209,B63)</f>
        <v>0</v>
      </c>
      <c r="K63" s="14">
        <v>0</v>
      </c>
      <c r="L63" s="14">
        <f>IFERROR(E63*Lists!$L$13*--(INDEX('Employee Master'!$S$10:$S$109,MATCH(B63,'Employee Master'!$A$10:$A$109,0))="Yes"),0)</f>
        <v>0</v>
      </c>
      <c r="M63" s="14">
        <f>IFERROR(F63*Lists!$L$14*--(INDEX('Employee Master'!$T$10:$T$109,MATCH(B63,'Employee Master'!$A$10:$A$109,0))="Yes"),0)</f>
        <v>0</v>
      </c>
      <c r="N63" s="14">
        <f t="shared" si="4"/>
        <v>0</v>
      </c>
      <c r="O63" s="14">
        <f t="shared" si="5"/>
        <v>0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1:35" x14ac:dyDescent="0.3">
      <c r="A64" s="16" t="s">
        <v>51</v>
      </c>
      <c r="B64" s="16" t="s">
        <v>357</v>
      </c>
      <c r="C64" s="9" t="str">
        <f>IFERROR(INDEX('Employee Master'!$B$10:$B$109,MATCH(B64,'Employee Master'!$A$10:$A$109,0)),"")</f>
        <v/>
      </c>
      <c r="D64" s="9" t="str">
        <f>IFERROR(INDEX('Employee Master'!$H$10:$H$109,MATCH(B64,'Employee Master'!$A$10:$A$109,0)),"")</f>
        <v/>
      </c>
      <c r="E64" s="14">
        <f>IFERROR(INDEX('Employee Master'!$Q$10:$Q$109,MATCH(B64,'Employee Master'!$A$10:$A$109,0)),0)</f>
        <v>0</v>
      </c>
      <c r="F64" s="14">
        <f>IFERROR(INDEX('Employee Master'!$R$10:$R$109,MATCH(B64,'Employee Master'!$A$10:$A$109,0)),0)</f>
        <v>0</v>
      </c>
      <c r="G64" s="16">
        <v>24</v>
      </c>
      <c r="H64" s="16">
        <v>2</v>
      </c>
      <c r="I64" s="14">
        <f t="shared" si="3"/>
        <v>0</v>
      </c>
      <c r="J64" s="14">
        <f>SUMIFS('OT Tracker'!$G$10:$G$209,'OT Tracker'!$B$10:$B$209,B64)</f>
        <v>0</v>
      </c>
      <c r="K64" s="14">
        <v>0</v>
      </c>
      <c r="L64" s="14">
        <f>IFERROR(E64*Lists!$L$13*--(INDEX('Employee Master'!$S$10:$S$109,MATCH(B64,'Employee Master'!$A$10:$A$109,0))="Yes"),0)</f>
        <v>0</v>
      </c>
      <c r="M64" s="14">
        <f>IFERROR(F64*Lists!$L$14*--(INDEX('Employee Master'!$T$10:$T$109,MATCH(B64,'Employee Master'!$A$10:$A$109,0))="Yes"),0)</f>
        <v>0</v>
      </c>
      <c r="N64" s="14">
        <f t="shared" si="4"/>
        <v>0</v>
      </c>
      <c r="O64" s="14">
        <f t="shared" si="5"/>
        <v>0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1:35" x14ac:dyDescent="0.3">
      <c r="A65" s="16" t="s">
        <v>51</v>
      </c>
      <c r="B65" s="16" t="s">
        <v>358</v>
      </c>
      <c r="C65" s="9" t="str">
        <f>IFERROR(INDEX('Employee Master'!$B$10:$B$109,MATCH(B65,'Employee Master'!$A$10:$A$109,0)),"")</f>
        <v/>
      </c>
      <c r="D65" s="9" t="str">
        <f>IFERROR(INDEX('Employee Master'!$H$10:$H$109,MATCH(B65,'Employee Master'!$A$10:$A$109,0)),"")</f>
        <v/>
      </c>
      <c r="E65" s="14">
        <f>IFERROR(INDEX('Employee Master'!$Q$10:$Q$109,MATCH(B65,'Employee Master'!$A$10:$A$109,0)),0)</f>
        <v>0</v>
      </c>
      <c r="F65" s="14">
        <f>IFERROR(INDEX('Employee Master'!$R$10:$R$109,MATCH(B65,'Employee Master'!$A$10:$A$109,0)),0)</f>
        <v>0</v>
      </c>
      <c r="G65" s="16">
        <v>23</v>
      </c>
      <c r="H65" s="16">
        <v>0</v>
      </c>
      <c r="I65" s="14">
        <f t="shared" si="3"/>
        <v>0</v>
      </c>
      <c r="J65" s="14">
        <f>SUMIFS('OT Tracker'!$G$10:$G$209,'OT Tracker'!$B$10:$B$209,B65)</f>
        <v>0</v>
      </c>
      <c r="K65" s="14">
        <v>0</v>
      </c>
      <c r="L65" s="14">
        <f>IFERROR(E65*Lists!$L$13*--(INDEX('Employee Master'!$S$10:$S$109,MATCH(B65,'Employee Master'!$A$10:$A$109,0))="Yes"),0)</f>
        <v>0</v>
      </c>
      <c r="M65" s="14">
        <f>IFERROR(F65*Lists!$L$14*--(INDEX('Employee Master'!$T$10:$T$109,MATCH(B65,'Employee Master'!$A$10:$A$109,0))="Yes"),0)</f>
        <v>0</v>
      </c>
      <c r="N65" s="14">
        <f t="shared" si="4"/>
        <v>0</v>
      </c>
      <c r="O65" s="14">
        <f t="shared" si="5"/>
        <v>0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1:35" x14ac:dyDescent="0.3">
      <c r="A66" s="16" t="s">
        <v>51</v>
      </c>
      <c r="B66" s="16" t="s">
        <v>359</v>
      </c>
      <c r="C66" s="9" t="str">
        <f>IFERROR(INDEX('Employee Master'!$B$10:$B$109,MATCH(B66,'Employee Master'!$A$10:$A$109,0)),"")</f>
        <v/>
      </c>
      <c r="D66" s="9" t="str">
        <f>IFERROR(INDEX('Employee Master'!$H$10:$H$109,MATCH(B66,'Employee Master'!$A$10:$A$109,0)),"")</f>
        <v/>
      </c>
      <c r="E66" s="14">
        <f>IFERROR(INDEX('Employee Master'!$Q$10:$Q$109,MATCH(B66,'Employee Master'!$A$10:$A$109,0)),0)</f>
        <v>0</v>
      </c>
      <c r="F66" s="14">
        <f>IFERROR(INDEX('Employee Master'!$R$10:$R$109,MATCH(B66,'Employee Master'!$A$10:$A$109,0)),0)</f>
        <v>0</v>
      </c>
      <c r="G66" s="16">
        <v>26</v>
      </c>
      <c r="H66" s="16">
        <v>0</v>
      </c>
      <c r="I66" s="14">
        <f t="shared" si="3"/>
        <v>0</v>
      </c>
      <c r="J66" s="14">
        <f>SUMIFS('OT Tracker'!$G$10:$G$209,'OT Tracker'!$B$10:$B$209,B66)</f>
        <v>0</v>
      </c>
      <c r="K66" s="14">
        <v>0</v>
      </c>
      <c r="L66" s="14">
        <f>IFERROR(E66*Lists!$L$13*--(INDEX('Employee Master'!$S$10:$S$109,MATCH(B66,'Employee Master'!$A$10:$A$109,0))="Yes"),0)</f>
        <v>0</v>
      </c>
      <c r="M66" s="14">
        <f>IFERROR(F66*Lists!$L$14*--(INDEX('Employee Master'!$T$10:$T$109,MATCH(B66,'Employee Master'!$A$10:$A$109,0))="Yes"),0)</f>
        <v>0</v>
      </c>
      <c r="N66" s="14">
        <f t="shared" si="4"/>
        <v>0</v>
      </c>
      <c r="O66" s="14">
        <f t="shared" si="5"/>
        <v>0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1:35" x14ac:dyDescent="0.3">
      <c r="A67" s="16" t="s">
        <v>51</v>
      </c>
      <c r="B67" s="16" t="s">
        <v>360</v>
      </c>
      <c r="C67" s="9" t="str">
        <f>IFERROR(INDEX('Employee Master'!$B$10:$B$109,MATCH(B67,'Employee Master'!$A$10:$A$109,0)),"")</f>
        <v/>
      </c>
      <c r="D67" s="9" t="str">
        <f>IFERROR(INDEX('Employee Master'!$H$10:$H$109,MATCH(B67,'Employee Master'!$A$10:$A$109,0)),"")</f>
        <v/>
      </c>
      <c r="E67" s="14">
        <f>IFERROR(INDEX('Employee Master'!$Q$10:$Q$109,MATCH(B67,'Employee Master'!$A$10:$A$109,0)),0)</f>
        <v>0</v>
      </c>
      <c r="F67" s="14">
        <f>IFERROR(INDEX('Employee Master'!$R$10:$R$109,MATCH(B67,'Employee Master'!$A$10:$A$109,0)),0)</f>
        <v>0</v>
      </c>
      <c r="G67" s="16">
        <v>26</v>
      </c>
      <c r="H67" s="16">
        <v>1</v>
      </c>
      <c r="I67" s="14">
        <f t="shared" si="3"/>
        <v>0</v>
      </c>
      <c r="J67" s="14">
        <f>SUMIFS('OT Tracker'!$G$10:$G$209,'OT Tracker'!$B$10:$B$209,B67)</f>
        <v>0</v>
      </c>
      <c r="K67" s="14">
        <v>0</v>
      </c>
      <c r="L67" s="14">
        <f>IFERROR(E67*Lists!$L$13*--(INDEX('Employee Master'!$S$10:$S$109,MATCH(B67,'Employee Master'!$A$10:$A$109,0))="Yes"),0)</f>
        <v>0</v>
      </c>
      <c r="M67" s="14">
        <f>IFERROR(F67*Lists!$L$14*--(INDEX('Employee Master'!$T$10:$T$109,MATCH(B67,'Employee Master'!$A$10:$A$109,0))="Yes"),0)</f>
        <v>0</v>
      </c>
      <c r="N67" s="14">
        <f t="shared" si="4"/>
        <v>0</v>
      </c>
      <c r="O67" s="14">
        <f t="shared" si="5"/>
        <v>0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1:35" x14ac:dyDescent="0.3">
      <c r="A68" s="16" t="s">
        <v>51</v>
      </c>
      <c r="B68" s="16" t="s">
        <v>361</v>
      </c>
      <c r="C68" s="9" t="str">
        <f>IFERROR(INDEX('Employee Master'!$B$10:$B$109,MATCH(B68,'Employee Master'!$A$10:$A$109,0)),"")</f>
        <v/>
      </c>
      <c r="D68" s="9" t="str">
        <f>IFERROR(INDEX('Employee Master'!$H$10:$H$109,MATCH(B68,'Employee Master'!$A$10:$A$109,0)),"")</f>
        <v/>
      </c>
      <c r="E68" s="14">
        <f>IFERROR(INDEX('Employee Master'!$Q$10:$Q$109,MATCH(B68,'Employee Master'!$A$10:$A$109,0)),0)</f>
        <v>0</v>
      </c>
      <c r="F68" s="14">
        <f>IFERROR(INDEX('Employee Master'!$R$10:$R$109,MATCH(B68,'Employee Master'!$A$10:$A$109,0)),0)</f>
        <v>0</v>
      </c>
      <c r="G68" s="16">
        <v>26</v>
      </c>
      <c r="H68" s="16">
        <v>2</v>
      </c>
      <c r="I68" s="14">
        <f t="shared" si="3"/>
        <v>0</v>
      </c>
      <c r="J68" s="14">
        <f>SUMIFS('OT Tracker'!$G$10:$G$209,'OT Tracker'!$B$10:$B$209,B68)</f>
        <v>0</v>
      </c>
      <c r="K68" s="14">
        <v>0</v>
      </c>
      <c r="L68" s="14">
        <f>IFERROR(E68*Lists!$L$13*--(INDEX('Employee Master'!$S$10:$S$109,MATCH(B68,'Employee Master'!$A$10:$A$109,0))="Yes"),0)</f>
        <v>0</v>
      </c>
      <c r="M68" s="14">
        <f>IFERROR(F68*Lists!$L$14*--(INDEX('Employee Master'!$T$10:$T$109,MATCH(B68,'Employee Master'!$A$10:$A$109,0))="Yes"),0)</f>
        <v>0</v>
      </c>
      <c r="N68" s="14">
        <f t="shared" si="4"/>
        <v>0</v>
      </c>
      <c r="O68" s="14">
        <f t="shared" si="5"/>
        <v>0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5" x14ac:dyDescent="0.3">
      <c r="A69" s="16" t="s">
        <v>51</v>
      </c>
      <c r="B69" s="16" t="s">
        <v>362</v>
      </c>
      <c r="C69" s="9" t="str">
        <f>IFERROR(INDEX('Employee Master'!$B$10:$B$109,MATCH(B69,'Employee Master'!$A$10:$A$109,0)),"")</f>
        <v/>
      </c>
      <c r="D69" s="9" t="str">
        <f>IFERROR(INDEX('Employee Master'!$H$10:$H$109,MATCH(B69,'Employee Master'!$A$10:$A$109,0)),"")</f>
        <v/>
      </c>
      <c r="E69" s="14">
        <f>IFERROR(INDEX('Employee Master'!$Q$10:$Q$109,MATCH(B69,'Employee Master'!$A$10:$A$109,0)),0)</f>
        <v>0</v>
      </c>
      <c r="F69" s="14">
        <f>IFERROR(INDEX('Employee Master'!$R$10:$R$109,MATCH(B69,'Employee Master'!$A$10:$A$109,0)),0)</f>
        <v>0</v>
      </c>
      <c r="G69" s="16">
        <v>23</v>
      </c>
      <c r="H69" s="16">
        <v>0</v>
      </c>
      <c r="I69" s="14">
        <f t="shared" si="3"/>
        <v>0</v>
      </c>
      <c r="J69" s="14">
        <f>SUMIFS('OT Tracker'!$G$10:$G$209,'OT Tracker'!$B$10:$B$209,B69)</f>
        <v>0</v>
      </c>
      <c r="K69" s="14">
        <v>0</v>
      </c>
      <c r="L69" s="14">
        <f>IFERROR(E69*Lists!$L$13*--(INDEX('Employee Master'!$S$10:$S$109,MATCH(B69,'Employee Master'!$A$10:$A$109,0))="Yes"),0)</f>
        <v>0</v>
      </c>
      <c r="M69" s="14">
        <f>IFERROR(F69*Lists!$L$14*--(INDEX('Employee Master'!$T$10:$T$109,MATCH(B69,'Employee Master'!$A$10:$A$109,0))="Yes"),0)</f>
        <v>0</v>
      </c>
      <c r="N69" s="14">
        <f t="shared" si="4"/>
        <v>0</v>
      </c>
      <c r="O69" s="14">
        <f t="shared" si="5"/>
        <v>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1:35" x14ac:dyDescent="0.3">
      <c r="A70" s="16" t="s">
        <v>51</v>
      </c>
      <c r="B70" s="16" t="s">
        <v>363</v>
      </c>
      <c r="C70" s="9" t="str">
        <f>IFERROR(INDEX('Employee Master'!$B$10:$B$109,MATCH(B70,'Employee Master'!$A$10:$A$109,0)),"")</f>
        <v/>
      </c>
      <c r="D70" s="9" t="str">
        <f>IFERROR(INDEX('Employee Master'!$H$10:$H$109,MATCH(B70,'Employee Master'!$A$10:$A$109,0)),"")</f>
        <v/>
      </c>
      <c r="E70" s="14">
        <f>IFERROR(INDEX('Employee Master'!$Q$10:$Q$109,MATCH(B70,'Employee Master'!$A$10:$A$109,0)),0)</f>
        <v>0</v>
      </c>
      <c r="F70" s="14">
        <f>IFERROR(INDEX('Employee Master'!$R$10:$R$109,MATCH(B70,'Employee Master'!$A$10:$A$109,0)),0)</f>
        <v>0</v>
      </c>
      <c r="G70" s="16">
        <v>26</v>
      </c>
      <c r="H70" s="16">
        <v>0</v>
      </c>
      <c r="I70" s="14">
        <f t="shared" si="3"/>
        <v>0</v>
      </c>
      <c r="J70" s="14">
        <f>SUMIFS('OT Tracker'!$G$10:$G$209,'OT Tracker'!$B$10:$B$209,B70)</f>
        <v>0</v>
      </c>
      <c r="K70" s="14">
        <v>0</v>
      </c>
      <c r="L70" s="14">
        <f>IFERROR(E70*Lists!$L$13*--(INDEX('Employee Master'!$S$10:$S$109,MATCH(B70,'Employee Master'!$A$10:$A$109,0))="Yes"),0)</f>
        <v>0</v>
      </c>
      <c r="M70" s="14">
        <f>IFERROR(F70*Lists!$L$14*--(INDEX('Employee Master'!$T$10:$T$109,MATCH(B70,'Employee Master'!$A$10:$A$109,0))="Yes"),0)</f>
        <v>0</v>
      </c>
      <c r="N70" s="14">
        <f t="shared" si="4"/>
        <v>0</v>
      </c>
      <c r="O70" s="14">
        <f t="shared" si="5"/>
        <v>0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1:35" x14ac:dyDescent="0.3">
      <c r="A71" s="16" t="s">
        <v>51</v>
      </c>
      <c r="B71" s="16" t="s">
        <v>364</v>
      </c>
      <c r="C71" s="9" t="str">
        <f>IFERROR(INDEX('Employee Master'!$B$10:$B$109,MATCH(B71,'Employee Master'!$A$10:$A$109,0)),"")</f>
        <v/>
      </c>
      <c r="D71" s="9" t="str">
        <f>IFERROR(INDEX('Employee Master'!$H$10:$H$109,MATCH(B71,'Employee Master'!$A$10:$A$109,0)),"")</f>
        <v/>
      </c>
      <c r="E71" s="14">
        <f>IFERROR(INDEX('Employee Master'!$Q$10:$Q$109,MATCH(B71,'Employee Master'!$A$10:$A$109,0)),0)</f>
        <v>0</v>
      </c>
      <c r="F71" s="14">
        <f>IFERROR(INDEX('Employee Master'!$R$10:$R$109,MATCH(B71,'Employee Master'!$A$10:$A$109,0)),0)</f>
        <v>0</v>
      </c>
      <c r="G71" s="16">
        <v>22</v>
      </c>
      <c r="H71" s="16">
        <v>2</v>
      </c>
      <c r="I71" s="14">
        <f t="shared" si="3"/>
        <v>0</v>
      </c>
      <c r="J71" s="14">
        <f>SUMIFS('OT Tracker'!$G$10:$G$209,'OT Tracker'!$B$10:$B$209,B71)</f>
        <v>0</v>
      </c>
      <c r="K71" s="14">
        <v>0</v>
      </c>
      <c r="L71" s="14">
        <f>IFERROR(E71*Lists!$L$13*--(INDEX('Employee Master'!$S$10:$S$109,MATCH(B71,'Employee Master'!$A$10:$A$109,0))="Yes"),0)</f>
        <v>0</v>
      </c>
      <c r="M71" s="14">
        <f>IFERROR(F71*Lists!$L$14*--(INDEX('Employee Master'!$T$10:$T$109,MATCH(B71,'Employee Master'!$A$10:$A$109,0))="Yes"),0)</f>
        <v>0</v>
      </c>
      <c r="N71" s="14">
        <f t="shared" si="4"/>
        <v>0</v>
      </c>
      <c r="O71" s="14">
        <f t="shared" si="5"/>
        <v>0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spans="1:35" x14ac:dyDescent="0.3">
      <c r="A72" s="16" t="s">
        <v>51</v>
      </c>
      <c r="B72" s="16" t="s">
        <v>365</v>
      </c>
      <c r="C72" s="9" t="str">
        <f>IFERROR(INDEX('Employee Master'!$B$10:$B$109,MATCH(B72,'Employee Master'!$A$10:$A$109,0)),"")</f>
        <v/>
      </c>
      <c r="D72" s="9" t="str">
        <f>IFERROR(INDEX('Employee Master'!$H$10:$H$109,MATCH(B72,'Employee Master'!$A$10:$A$109,0)),"")</f>
        <v/>
      </c>
      <c r="E72" s="14">
        <f>IFERROR(INDEX('Employee Master'!$Q$10:$Q$109,MATCH(B72,'Employee Master'!$A$10:$A$109,0)),0)</f>
        <v>0</v>
      </c>
      <c r="F72" s="14">
        <f>IFERROR(INDEX('Employee Master'!$R$10:$R$109,MATCH(B72,'Employee Master'!$A$10:$A$109,0)),0)</f>
        <v>0</v>
      </c>
      <c r="G72" s="16">
        <v>24</v>
      </c>
      <c r="H72" s="16">
        <v>1</v>
      </c>
      <c r="I72" s="14">
        <f t="shared" si="3"/>
        <v>0</v>
      </c>
      <c r="J72" s="14">
        <f>SUMIFS('OT Tracker'!$G$10:$G$209,'OT Tracker'!$B$10:$B$209,B72)</f>
        <v>0</v>
      </c>
      <c r="K72" s="14">
        <v>0</v>
      </c>
      <c r="L72" s="14">
        <f>IFERROR(E72*Lists!$L$13*--(INDEX('Employee Master'!$S$10:$S$109,MATCH(B72,'Employee Master'!$A$10:$A$109,0))="Yes"),0)</f>
        <v>0</v>
      </c>
      <c r="M72" s="14">
        <f>IFERROR(F72*Lists!$L$14*--(INDEX('Employee Master'!$T$10:$T$109,MATCH(B72,'Employee Master'!$A$10:$A$109,0))="Yes"),0)</f>
        <v>0</v>
      </c>
      <c r="N72" s="14">
        <f t="shared" si="4"/>
        <v>0</v>
      </c>
      <c r="O72" s="14">
        <f t="shared" si="5"/>
        <v>0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spans="1:35" x14ac:dyDescent="0.3">
      <c r="A73" s="16" t="s">
        <v>51</v>
      </c>
      <c r="B73" s="16" t="s">
        <v>366</v>
      </c>
      <c r="C73" s="9" t="str">
        <f>IFERROR(INDEX('Employee Master'!$B$10:$B$109,MATCH(B73,'Employee Master'!$A$10:$A$109,0)),"")</f>
        <v/>
      </c>
      <c r="D73" s="9" t="str">
        <f>IFERROR(INDEX('Employee Master'!$H$10:$H$109,MATCH(B73,'Employee Master'!$A$10:$A$109,0)),"")</f>
        <v/>
      </c>
      <c r="E73" s="14">
        <f>IFERROR(INDEX('Employee Master'!$Q$10:$Q$109,MATCH(B73,'Employee Master'!$A$10:$A$109,0)),0)</f>
        <v>0</v>
      </c>
      <c r="F73" s="14">
        <f>IFERROR(INDEX('Employee Master'!$R$10:$R$109,MATCH(B73,'Employee Master'!$A$10:$A$109,0)),0)</f>
        <v>0</v>
      </c>
      <c r="G73" s="16">
        <v>26</v>
      </c>
      <c r="H73" s="16">
        <v>0</v>
      </c>
      <c r="I73" s="14">
        <f t="shared" si="3"/>
        <v>0</v>
      </c>
      <c r="J73" s="14">
        <f>SUMIFS('OT Tracker'!$G$10:$G$209,'OT Tracker'!$B$10:$B$209,B73)</f>
        <v>0</v>
      </c>
      <c r="K73" s="14">
        <v>0</v>
      </c>
      <c r="L73" s="14">
        <f>IFERROR(E73*Lists!$L$13*--(INDEX('Employee Master'!$S$10:$S$109,MATCH(B73,'Employee Master'!$A$10:$A$109,0))="Yes"),0)</f>
        <v>0</v>
      </c>
      <c r="M73" s="14">
        <f>IFERROR(F73*Lists!$L$14*--(INDEX('Employee Master'!$T$10:$T$109,MATCH(B73,'Employee Master'!$A$10:$A$109,0))="Yes"),0)</f>
        <v>0</v>
      </c>
      <c r="N73" s="14">
        <f t="shared" si="4"/>
        <v>0</v>
      </c>
      <c r="O73" s="14">
        <f t="shared" si="5"/>
        <v>0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spans="1:35" x14ac:dyDescent="0.3">
      <c r="A74" s="16" t="s">
        <v>51</v>
      </c>
      <c r="B74" s="16" t="s">
        <v>367</v>
      </c>
      <c r="C74" s="9" t="str">
        <f>IFERROR(INDEX('Employee Master'!$B$10:$B$109,MATCH(B74,'Employee Master'!$A$10:$A$109,0)),"")</f>
        <v/>
      </c>
      <c r="D74" s="9" t="str">
        <f>IFERROR(INDEX('Employee Master'!$H$10:$H$109,MATCH(B74,'Employee Master'!$A$10:$A$109,0)),"")</f>
        <v/>
      </c>
      <c r="E74" s="14">
        <f>IFERROR(INDEX('Employee Master'!$Q$10:$Q$109,MATCH(B74,'Employee Master'!$A$10:$A$109,0)),0)</f>
        <v>0</v>
      </c>
      <c r="F74" s="14">
        <f>IFERROR(INDEX('Employee Master'!$R$10:$R$109,MATCH(B74,'Employee Master'!$A$10:$A$109,0)),0)</f>
        <v>0</v>
      </c>
      <c r="G74" s="16">
        <v>22</v>
      </c>
      <c r="H74" s="16">
        <v>1</v>
      </c>
      <c r="I74" s="14">
        <f t="shared" ref="I74:I105" si="6">IFERROR(F74/30*H74,0)</f>
        <v>0</v>
      </c>
      <c r="J74" s="14">
        <f>SUMIFS('OT Tracker'!$G$10:$G$209,'OT Tracker'!$B$10:$B$209,B74)</f>
        <v>0</v>
      </c>
      <c r="K74" s="14">
        <v>0</v>
      </c>
      <c r="L74" s="14">
        <f>IFERROR(E74*Lists!$L$13*--(INDEX('Employee Master'!$S$10:$S$109,MATCH(B74,'Employee Master'!$A$10:$A$109,0))="Yes"),0)</f>
        <v>0</v>
      </c>
      <c r="M74" s="14">
        <f>IFERROR(F74*Lists!$L$14*--(INDEX('Employee Master'!$T$10:$T$109,MATCH(B74,'Employee Master'!$A$10:$A$109,0))="Yes"),0)</f>
        <v>0</v>
      </c>
      <c r="N74" s="14">
        <f t="shared" ref="N74:N105" si="7">I74+K74+L74+M74</f>
        <v>0</v>
      </c>
      <c r="O74" s="14">
        <f t="shared" ref="O74:O105" si="8">F74+J74-N74</f>
        <v>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spans="1:35" x14ac:dyDescent="0.3">
      <c r="A75" s="16" t="s">
        <v>51</v>
      </c>
      <c r="B75" s="16" t="s">
        <v>368</v>
      </c>
      <c r="C75" s="9" t="str">
        <f>IFERROR(INDEX('Employee Master'!$B$10:$B$109,MATCH(B75,'Employee Master'!$A$10:$A$109,0)),"")</f>
        <v/>
      </c>
      <c r="D75" s="9" t="str">
        <f>IFERROR(INDEX('Employee Master'!$H$10:$H$109,MATCH(B75,'Employee Master'!$A$10:$A$109,0)),"")</f>
        <v/>
      </c>
      <c r="E75" s="14">
        <f>IFERROR(INDEX('Employee Master'!$Q$10:$Q$109,MATCH(B75,'Employee Master'!$A$10:$A$109,0)),0)</f>
        <v>0</v>
      </c>
      <c r="F75" s="14">
        <f>IFERROR(INDEX('Employee Master'!$R$10:$R$109,MATCH(B75,'Employee Master'!$A$10:$A$109,0)),0)</f>
        <v>0</v>
      </c>
      <c r="G75" s="16">
        <v>22</v>
      </c>
      <c r="H75" s="16">
        <v>1</v>
      </c>
      <c r="I75" s="14">
        <f t="shared" si="6"/>
        <v>0</v>
      </c>
      <c r="J75" s="14">
        <f>SUMIFS('OT Tracker'!$G$10:$G$209,'OT Tracker'!$B$10:$B$209,B75)</f>
        <v>0</v>
      </c>
      <c r="K75" s="14">
        <v>0</v>
      </c>
      <c r="L75" s="14">
        <f>IFERROR(E75*Lists!$L$13*--(INDEX('Employee Master'!$S$10:$S$109,MATCH(B75,'Employee Master'!$A$10:$A$109,0))="Yes"),0)</f>
        <v>0</v>
      </c>
      <c r="M75" s="14">
        <f>IFERROR(F75*Lists!$L$14*--(INDEX('Employee Master'!$T$10:$T$109,MATCH(B75,'Employee Master'!$A$10:$A$109,0))="Yes"),0)</f>
        <v>0</v>
      </c>
      <c r="N75" s="14">
        <f t="shared" si="7"/>
        <v>0</v>
      </c>
      <c r="O75" s="14">
        <f t="shared" si="8"/>
        <v>0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spans="1:35" x14ac:dyDescent="0.3">
      <c r="A76" s="16" t="s">
        <v>51</v>
      </c>
      <c r="B76" s="16" t="s">
        <v>369</v>
      </c>
      <c r="C76" s="9" t="str">
        <f>IFERROR(INDEX('Employee Master'!$B$10:$B$109,MATCH(B76,'Employee Master'!$A$10:$A$109,0)),"")</f>
        <v/>
      </c>
      <c r="D76" s="9" t="str">
        <f>IFERROR(INDEX('Employee Master'!$H$10:$H$109,MATCH(B76,'Employee Master'!$A$10:$A$109,0)),"")</f>
        <v/>
      </c>
      <c r="E76" s="14">
        <f>IFERROR(INDEX('Employee Master'!$Q$10:$Q$109,MATCH(B76,'Employee Master'!$A$10:$A$109,0)),0)</f>
        <v>0</v>
      </c>
      <c r="F76" s="14">
        <f>IFERROR(INDEX('Employee Master'!$R$10:$R$109,MATCH(B76,'Employee Master'!$A$10:$A$109,0)),0)</f>
        <v>0</v>
      </c>
      <c r="G76" s="16">
        <v>23</v>
      </c>
      <c r="H76" s="16">
        <v>2</v>
      </c>
      <c r="I76" s="14">
        <f t="shared" si="6"/>
        <v>0</v>
      </c>
      <c r="J76" s="14">
        <f>SUMIFS('OT Tracker'!$G$10:$G$209,'OT Tracker'!$B$10:$B$209,B76)</f>
        <v>0</v>
      </c>
      <c r="K76" s="14">
        <v>0</v>
      </c>
      <c r="L76" s="14">
        <f>IFERROR(E76*Lists!$L$13*--(INDEX('Employee Master'!$S$10:$S$109,MATCH(B76,'Employee Master'!$A$10:$A$109,0))="Yes"),0)</f>
        <v>0</v>
      </c>
      <c r="M76" s="14">
        <f>IFERROR(F76*Lists!$L$14*--(INDEX('Employee Master'!$T$10:$T$109,MATCH(B76,'Employee Master'!$A$10:$A$109,0))="Yes"),0)</f>
        <v>0</v>
      </c>
      <c r="N76" s="14">
        <f t="shared" si="7"/>
        <v>0</v>
      </c>
      <c r="O76" s="14">
        <f t="shared" si="8"/>
        <v>0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x14ac:dyDescent="0.3">
      <c r="A77" s="16" t="s">
        <v>51</v>
      </c>
      <c r="B77" s="16" t="s">
        <v>370</v>
      </c>
      <c r="C77" s="9" t="str">
        <f>IFERROR(INDEX('Employee Master'!$B$10:$B$109,MATCH(B77,'Employee Master'!$A$10:$A$109,0)),"")</f>
        <v/>
      </c>
      <c r="D77" s="9" t="str">
        <f>IFERROR(INDEX('Employee Master'!$H$10:$H$109,MATCH(B77,'Employee Master'!$A$10:$A$109,0)),"")</f>
        <v/>
      </c>
      <c r="E77" s="14">
        <f>IFERROR(INDEX('Employee Master'!$Q$10:$Q$109,MATCH(B77,'Employee Master'!$A$10:$A$109,0)),0)</f>
        <v>0</v>
      </c>
      <c r="F77" s="14">
        <f>IFERROR(INDEX('Employee Master'!$R$10:$R$109,MATCH(B77,'Employee Master'!$A$10:$A$109,0)),0)</f>
        <v>0</v>
      </c>
      <c r="G77" s="16">
        <v>23</v>
      </c>
      <c r="H77" s="16">
        <v>0</v>
      </c>
      <c r="I77" s="14">
        <f t="shared" si="6"/>
        <v>0</v>
      </c>
      <c r="J77" s="14">
        <f>SUMIFS('OT Tracker'!$G$10:$G$209,'OT Tracker'!$B$10:$B$209,B77)</f>
        <v>0</v>
      </c>
      <c r="K77" s="14">
        <v>0</v>
      </c>
      <c r="L77" s="14">
        <f>IFERROR(E77*Lists!$L$13*--(INDEX('Employee Master'!$S$10:$S$109,MATCH(B77,'Employee Master'!$A$10:$A$109,0))="Yes"),0)</f>
        <v>0</v>
      </c>
      <c r="M77" s="14">
        <f>IFERROR(F77*Lists!$L$14*--(INDEX('Employee Master'!$T$10:$T$109,MATCH(B77,'Employee Master'!$A$10:$A$109,0))="Yes"),0)</f>
        <v>0</v>
      </c>
      <c r="N77" s="14">
        <f t="shared" si="7"/>
        <v>0</v>
      </c>
      <c r="O77" s="14">
        <f t="shared" si="8"/>
        <v>0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spans="1:35" x14ac:dyDescent="0.3">
      <c r="A78" s="16" t="s">
        <v>51</v>
      </c>
      <c r="B78" s="16" t="s">
        <v>371</v>
      </c>
      <c r="C78" s="9" t="str">
        <f>IFERROR(INDEX('Employee Master'!$B$10:$B$109,MATCH(B78,'Employee Master'!$A$10:$A$109,0)),"")</f>
        <v/>
      </c>
      <c r="D78" s="9" t="str">
        <f>IFERROR(INDEX('Employee Master'!$H$10:$H$109,MATCH(B78,'Employee Master'!$A$10:$A$109,0)),"")</f>
        <v/>
      </c>
      <c r="E78" s="14">
        <f>IFERROR(INDEX('Employee Master'!$Q$10:$Q$109,MATCH(B78,'Employee Master'!$A$10:$A$109,0)),0)</f>
        <v>0</v>
      </c>
      <c r="F78" s="14">
        <f>IFERROR(INDEX('Employee Master'!$R$10:$R$109,MATCH(B78,'Employee Master'!$A$10:$A$109,0)),0)</f>
        <v>0</v>
      </c>
      <c r="G78" s="16">
        <v>24</v>
      </c>
      <c r="H78" s="16">
        <v>0</v>
      </c>
      <c r="I78" s="14">
        <f t="shared" si="6"/>
        <v>0</v>
      </c>
      <c r="J78" s="14">
        <f>SUMIFS('OT Tracker'!$G$10:$G$209,'OT Tracker'!$B$10:$B$209,B78)</f>
        <v>0</v>
      </c>
      <c r="K78" s="14">
        <v>0</v>
      </c>
      <c r="L78" s="14">
        <f>IFERROR(E78*Lists!$L$13*--(INDEX('Employee Master'!$S$10:$S$109,MATCH(B78,'Employee Master'!$A$10:$A$109,0))="Yes"),0)</f>
        <v>0</v>
      </c>
      <c r="M78" s="14">
        <f>IFERROR(F78*Lists!$L$14*--(INDEX('Employee Master'!$T$10:$T$109,MATCH(B78,'Employee Master'!$A$10:$A$109,0))="Yes"),0)</f>
        <v>0</v>
      </c>
      <c r="N78" s="14">
        <f t="shared" si="7"/>
        <v>0</v>
      </c>
      <c r="O78" s="14">
        <f t="shared" si="8"/>
        <v>0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spans="1:35" x14ac:dyDescent="0.3">
      <c r="A79" s="16" t="s">
        <v>51</v>
      </c>
      <c r="B79" s="16" t="s">
        <v>372</v>
      </c>
      <c r="C79" s="9" t="str">
        <f>IFERROR(INDEX('Employee Master'!$B$10:$B$109,MATCH(B79,'Employee Master'!$A$10:$A$109,0)),"")</f>
        <v/>
      </c>
      <c r="D79" s="9" t="str">
        <f>IFERROR(INDEX('Employee Master'!$H$10:$H$109,MATCH(B79,'Employee Master'!$A$10:$A$109,0)),"")</f>
        <v/>
      </c>
      <c r="E79" s="14">
        <f>IFERROR(INDEX('Employee Master'!$Q$10:$Q$109,MATCH(B79,'Employee Master'!$A$10:$A$109,0)),0)</f>
        <v>0</v>
      </c>
      <c r="F79" s="14">
        <f>IFERROR(INDEX('Employee Master'!$R$10:$R$109,MATCH(B79,'Employee Master'!$A$10:$A$109,0)),0)</f>
        <v>0</v>
      </c>
      <c r="G79" s="16">
        <v>25</v>
      </c>
      <c r="H79" s="16">
        <v>0</v>
      </c>
      <c r="I79" s="14">
        <f t="shared" si="6"/>
        <v>0</v>
      </c>
      <c r="J79" s="14">
        <f>SUMIFS('OT Tracker'!$G$10:$G$209,'OT Tracker'!$B$10:$B$209,B79)</f>
        <v>0</v>
      </c>
      <c r="K79" s="14">
        <v>0</v>
      </c>
      <c r="L79" s="14">
        <f>IFERROR(E79*Lists!$L$13*--(INDEX('Employee Master'!$S$10:$S$109,MATCH(B79,'Employee Master'!$A$10:$A$109,0))="Yes"),0)</f>
        <v>0</v>
      </c>
      <c r="M79" s="14">
        <f>IFERROR(F79*Lists!$L$14*--(INDEX('Employee Master'!$T$10:$T$109,MATCH(B79,'Employee Master'!$A$10:$A$109,0))="Yes"),0)</f>
        <v>0</v>
      </c>
      <c r="N79" s="14">
        <f t="shared" si="7"/>
        <v>0</v>
      </c>
      <c r="O79" s="14">
        <f t="shared" si="8"/>
        <v>0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spans="1:35" x14ac:dyDescent="0.3">
      <c r="A80" s="16" t="s">
        <v>51</v>
      </c>
      <c r="B80" s="16" t="s">
        <v>373</v>
      </c>
      <c r="C80" s="9" t="str">
        <f>IFERROR(INDEX('Employee Master'!$B$10:$B$109,MATCH(B80,'Employee Master'!$A$10:$A$109,0)),"")</f>
        <v/>
      </c>
      <c r="D80" s="9" t="str">
        <f>IFERROR(INDEX('Employee Master'!$H$10:$H$109,MATCH(B80,'Employee Master'!$A$10:$A$109,0)),"")</f>
        <v/>
      </c>
      <c r="E80" s="14">
        <f>IFERROR(INDEX('Employee Master'!$Q$10:$Q$109,MATCH(B80,'Employee Master'!$A$10:$A$109,0)),0)</f>
        <v>0</v>
      </c>
      <c r="F80" s="14">
        <f>IFERROR(INDEX('Employee Master'!$R$10:$R$109,MATCH(B80,'Employee Master'!$A$10:$A$109,0)),0)</f>
        <v>0</v>
      </c>
      <c r="G80" s="16">
        <v>24</v>
      </c>
      <c r="H80" s="16">
        <v>0</v>
      </c>
      <c r="I80" s="14">
        <f t="shared" si="6"/>
        <v>0</v>
      </c>
      <c r="J80" s="14">
        <f>SUMIFS('OT Tracker'!$G$10:$G$209,'OT Tracker'!$B$10:$B$209,B80)</f>
        <v>0</v>
      </c>
      <c r="K80" s="14">
        <v>0</v>
      </c>
      <c r="L80" s="14">
        <f>IFERROR(E80*Lists!$L$13*--(INDEX('Employee Master'!$S$10:$S$109,MATCH(B80,'Employee Master'!$A$10:$A$109,0))="Yes"),0)</f>
        <v>0</v>
      </c>
      <c r="M80" s="14">
        <f>IFERROR(F80*Lists!$L$14*--(INDEX('Employee Master'!$T$10:$T$109,MATCH(B80,'Employee Master'!$A$10:$A$109,0))="Yes"),0)</f>
        <v>0</v>
      </c>
      <c r="N80" s="14">
        <f t="shared" si="7"/>
        <v>0</v>
      </c>
      <c r="O80" s="14">
        <f t="shared" si="8"/>
        <v>0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spans="1:35" x14ac:dyDescent="0.3">
      <c r="A81" s="16"/>
      <c r="B81" s="16"/>
      <c r="C81" s="9" t="str">
        <f>IFERROR(INDEX('Employee Master'!$B$10:$B$109,MATCH(B81,'Employee Master'!$A$10:$A$109,0)),"")</f>
        <v/>
      </c>
      <c r="D81" s="9" t="str">
        <f>IFERROR(INDEX('Employee Master'!$H$10:$H$109,MATCH(B81,'Employee Master'!$A$10:$A$109,0)),"")</f>
        <v/>
      </c>
      <c r="E81" s="14">
        <f>IFERROR(INDEX('Employee Master'!$Q$10:$Q$109,MATCH(B81,'Employee Master'!$A$10:$A$109,0)),0)</f>
        <v>0</v>
      </c>
      <c r="F81" s="14">
        <f>IFERROR(INDEX('Employee Master'!$R$10:$R$109,MATCH(B81,'Employee Master'!$A$10:$A$109,0)),0)</f>
        <v>0</v>
      </c>
      <c r="G81" s="16"/>
      <c r="H81" s="16">
        <v>0</v>
      </c>
      <c r="I81" s="14">
        <f t="shared" si="6"/>
        <v>0</v>
      </c>
      <c r="J81" s="14">
        <f>SUMIFS('OT Tracker'!$G$10:$G$209,'OT Tracker'!$B$10:$B$209,B81)</f>
        <v>0</v>
      </c>
      <c r="K81" s="14">
        <v>0</v>
      </c>
      <c r="L81" s="14">
        <f>IFERROR(E81*Lists!$L$13*--(INDEX('Employee Master'!$S$10:$S$109,MATCH(B81,'Employee Master'!$A$10:$A$109,0))="Yes"),0)</f>
        <v>0</v>
      </c>
      <c r="M81" s="14">
        <f>IFERROR(F81*Lists!$L$14*--(INDEX('Employee Master'!$T$10:$T$109,MATCH(B81,'Employee Master'!$A$10:$A$109,0))="Yes"),0)</f>
        <v>0</v>
      </c>
      <c r="N81" s="14">
        <f t="shared" si="7"/>
        <v>0</v>
      </c>
      <c r="O81" s="14">
        <f t="shared" si="8"/>
        <v>0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spans="1:35" x14ac:dyDescent="0.3">
      <c r="A82" s="16"/>
      <c r="B82" s="16"/>
      <c r="C82" s="9" t="str">
        <f>IFERROR(INDEX('Employee Master'!$B$10:$B$109,MATCH(B82,'Employee Master'!$A$10:$A$109,0)),"")</f>
        <v/>
      </c>
      <c r="D82" s="9" t="str">
        <f>IFERROR(INDEX('Employee Master'!$H$10:$H$109,MATCH(B82,'Employee Master'!$A$10:$A$109,0)),"")</f>
        <v/>
      </c>
      <c r="E82" s="14">
        <f>IFERROR(INDEX('Employee Master'!$Q$10:$Q$109,MATCH(B82,'Employee Master'!$A$10:$A$109,0)),0)</f>
        <v>0</v>
      </c>
      <c r="F82" s="14">
        <f>IFERROR(INDEX('Employee Master'!$R$10:$R$109,MATCH(B82,'Employee Master'!$A$10:$A$109,0)),0)</f>
        <v>0</v>
      </c>
      <c r="G82" s="16"/>
      <c r="H82" s="16">
        <v>0</v>
      </c>
      <c r="I82" s="14">
        <f t="shared" si="6"/>
        <v>0</v>
      </c>
      <c r="J82" s="14">
        <f>SUMIFS('OT Tracker'!$G$10:$G$209,'OT Tracker'!$B$10:$B$209,B82)</f>
        <v>0</v>
      </c>
      <c r="K82" s="14">
        <v>0</v>
      </c>
      <c r="L82" s="14">
        <f>IFERROR(E82*Lists!$L$13*--(INDEX('Employee Master'!$S$10:$S$109,MATCH(B82,'Employee Master'!$A$10:$A$109,0))="Yes"),0)</f>
        <v>0</v>
      </c>
      <c r="M82" s="14">
        <f>IFERROR(F82*Lists!$L$14*--(INDEX('Employee Master'!$T$10:$T$109,MATCH(B82,'Employee Master'!$A$10:$A$109,0))="Yes"),0)</f>
        <v>0</v>
      </c>
      <c r="N82" s="14">
        <f t="shared" si="7"/>
        <v>0</v>
      </c>
      <c r="O82" s="14">
        <f t="shared" si="8"/>
        <v>0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spans="1:35" x14ac:dyDescent="0.3">
      <c r="A83" s="16"/>
      <c r="B83" s="16"/>
      <c r="C83" s="9" t="str">
        <f>IFERROR(INDEX('Employee Master'!$B$10:$B$109,MATCH(B83,'Employee Master'!$A$10:$A$109,0)),"")</f>
        <v/>
      </c>
      <c r="D83" s="9" t="str">
        <f>IFERROR(INDEX('Employee Master'!$H$10:$H$109,MATCH(B83,'Employee Master'!$A$10:$A$109,0)),"")</f>
        <v/>
      </c>
      <c r="E83" s="14">
        <f>IFERROR(INDEX('Employee Master'!$Q$10:$Q$109,MATCH(B83,'Employee Master'!$A$10:$A$109,0)),0)</f>
        <v>0</v>
      </c>
      <c r="F83" s="14">
        <f>IFERROR(INDEX('Employee Master'!$R$10:$R$109,MATCH(B83,'Employee Master'!$A$10:$A$109,0)),0)</f>
        <v>0</v>
      </c>
      <c r="G83" s="16"/>
      <c r="H83" s="16">
        <v>0</v>
      </c>
      <c r="I83" s="14">
        <f t="shared" si="6"/>
        <v>0</v>
      </c>
      <c r="J83" s="14">
        <f>SUMIFS('OT Tracker'!$G$10:$G$209,'OT Tracker'!$B$10:$B$209,B83)</f>
        <v>0</v>
      </c>
      <c r="K83" s="14">
        <v>0</v>
      </c>
      <c r="L83" s="14">
        <f>IFERROR(E83*Lists!$L$13*--(INDEX('Employee Master'!$S$10:$S$109,MATCH(B83,'Employee Master'!$A$10:$A$109,0))="Yes"),0)</f>
        <v>0</v>
      </c>
      <c r="M83" s="14">
        <f>IFERROR(F83*Lists!$L$14*--(INDEX('Employee Master'!$T$10:$T$109,MATCH(B83,'Employee Master'!$A$10:$A$109,0))="Yes"),0)</f>
        <v>0</v>
      </c>
      <c r="N83" s="14">
        <f t="shared" si="7"/>
        <v>0</v>
      </c>
      <c r="O83" s="14">
        <f t="shared" si="8"/>
        <v>0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spans="1:35" x14ac:dyDescent="0.3">
      <c r="A84" s="16"/>
      <c r="B84" s="16"/>
      <c r="C84" s="9" t="str">
        <f>IFERROR(INDEX('Employee Master'!$B$10:$B$109,MATCH(B84,'Employee Master'!$A$10:$A$109,0)),"")</f>
        <v/>
      </c>
      <c r="D84" s="9" t="str">
        <f>IFERROR(INDEX('Employee Master'!$H$10:$H$109,MATCH(B84,'Employee Master'!$A$10:$A$109,0)),"")</f>
        <v/>
      </c>
      <c r="E84" s="14">
        <f>IFERROR(INDEX('Employee Master'!$Q$10:$Q$109,MATCH(B84,'Employee Master'!$A$10:$A$109,0)),0)</f>
        <v>0</v>
      </c>
      <c r="F84" s="14">
        <f>IFERROR(INDEX('Employee Master'!$R$10:$R$109,MATCH(B84,'Employee Master'!$A$10:$A$109,0)),0)</f>
        <v>0</v>
      </c>
      <c r="G84" s="16"/>
      <c r="H84" s="16">
        <v>0</v>
      </c>
      <c r="I84" s="14">
        <f t="shared" si="6"/>
        <v>0</v>
      </c>
      <c r="J84" s="14">
        <f>SUMIFS('OT Tracker'!$G$10:$G$209,'OT Tracker'!$B$10:$B$209,B84)</f>
        <v>0</v>
      </c>
      <c r="K84" s="14">
        <v>0</v>
      </c>
      <c r="L84" s="14">
        <f>IFERROR(E84*Lists!$L$13*--(INDEX('Employee Master'!$S$10:$S$109,MATCH(B84,'Employee Master'!$A$10:$A$109,0))="Yes"),0)</f>
        <v>0</v>
      </c>
      <c r="M84" s="14">
        <f>IFERROR(F84*Lists!$L$14*--(INDEX('Employee Master'!$T$10:$T$109,MATCH(B84,'Employee Master'!$A$10:$A$109,0))="Yes"),0)</f>
        <v>0</v>
      </c>
      <c r="N84" s="14">
        <f t="shared" si="7"/>
        <v>0</v>
      </c>
      <c r="O84" s="14">
        <f t="shared" si="8"/>
        <v>0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5" x14ac:dyDescent="0.3">
      <c r="A85" s="16"/>
      <c r="B85" s="16"/>
      <c r="C85" s="9" t="str">
        <f>IFERROR(INDEX('Employee Master'!$B$10:$B$109,MATCH(B85,'Employee Master'!$A$10:$A$109,0)),"")</f>
        <v/>
      </c>
      <c r="D85" s="9" t="str">
        <f>IFERROR(INDEX('Employee Master'!$H$10:$H$109,MATCH(B85,'Employee Master'!$A$10:$A$109,0)),"")</f>
        <v/>
      </c>
      <c r="E85" s="14">
        <f>IFERROR(INDEX('Employee Master'!$Q$10:$Q$109,MATCH(B85,'Employee Master'!$A$10:$A$109,0)),0)</f>
        <v>0</v>
      </c>
      <c r="F85" s="14">
        <f>IFERROR(INDEX('Employee Master'!$R$10:$R$109,MATCH(B85,'Employee Master'!$A$10:$A$109,0)),0)</f>
        <v>0</v>
      </c>
      <c r="G85" s="16"/>
      <c r="H85" s="16">
        <v>0</v>
      </c>
      <c r="I85" s="14">
        <f t="shared" si="6"/>
        <v>0</v>
      </c>
      <c r="J85" s="14">
        <f>SUMIFS('OT Tracker'!$G$10:$G$209,'OT Tracker'!$B$10:$B$209,B85)</f>
        <v>0</v>
      </c>
      <c r="K85" s="14">
        <v>0</v>
      </c>
      <c r="L85" s="14">
        <f>IFERROR(E85*Lists!$L$13*--(INDEX('Employee Master'!$S$10:$S$109,MATCH(B85,'Employee Master'!$A$10:$A$109,0))="Yes"),0)</f>
        <v>0</v>
      </c>
      <c r="M85" s="14">
        <f>IFERROR(F85*Lists!$L$14*--(INDEX('Employee Master'!$T$10:$T$109,MATCH(B85,'Employee Master'!$A$10:$A$109,0))="Yes"),0)</f>
        <v>0</v>
      </c>
      <c r="N85" s="14">
        <f t="shared" si="7"/>
        <v>0</v>
      </c>
      <c r="O85" s="14">
        <f t="shared" si="8"/>
        <v>0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spans="1:35" x14ac:dyDescent="0.3">
      <c r="A86" s="16"/>
      <c r="B86" s="16"/>
      <c r="C86" s="9" t="str">
        <f>IFERROR(INDEX('Employee Master'!$B$10:$B$109,MATCH(B86,'Employee Master'!$A$10:$A$109,0)),"")</f>
        <v/>
      </c>
      <c r="D86" s="9" t="str">
        <f>IFERROR(INDEX('Employee Master'!$H$10:$H$109,MATCH(B86,'Employee Master'!$A$10:$A$109,0)),"")</f>
        <v/>
      </c>
      <c r="E86" s="14">
        <f>IFERROR(INDEX('Employee Master'!$Q$10:$Q$109,MATCH(B86,'Employee Master'!$A$10:$A$109,0)),0)</f>
        <v>0</v>
      </c>
      <c r="F86" s="14">
        <f>IFERROR(INDEX('Employee Master'!$R$10:$R$109,MATCH(B86,'Employee Master'!$A$10:$A$109,0)),0)</f>
        <v>0</v>
      </c>
      <c r="G86" s="16"/>
      <c r="H86" s="16">
        <v>0</v>
      </c>
      <c r="I86" s="14">
        <f t="shared" si="6"/>
        <v>0</v>
      </c>
      <c r="J86" s="14">
        <f>SUMIFS('OT Tracker'!$G$10:$G$209,'OT Tracker'!$B$10:$B$209,B86)</f>
        <v>0</v>
      </c>
      <c r="K86" s="14">
        <v>0</v>
      </c>
      <c r="L86" s="14">
        <f>IFERROR(E86*Lists!$L$13*--(INDEX('Employee Master'!$S$10:$S$109,MATCH(B86,'Employee Master'!$A$10:$A$109,0))="Yes"),0)</f>
        <v>0</v>
      </c>
      <c r="M86" s="14">
        <f>IFERROR(F86*Lists!$L$14*--(INDEX('Employee Master'!$T$10:$T$109,MATCH(B86,'Employee Master'!$A$10:$A$109,0))="Yes"),0)</f>
        <v>0</v>
      </c>
      <c r="N86" s="14">
        <f t="shared" si="7"/>
        <v>0</v>
      </c>
      <c r="O86" s="14">
        <f t="shared" si="8"/>
        <v>0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spans="1:35" x14ac:dyDescent="0.3">
      <c r="A87" s="16"/>
      <c r="B87" s="16"/>
      <c r="C87" s="9" t="str">
        <f>IFERROR(INDEX('Employee Master'!$B$10:$B$109,MATCH(B87,'Employee Master'!$A$10:$A$109,0)),"")</f>
        <v/>
      </c>
      <c r="D87" s="9" t="str">
        <f>IFERROR(INDEX('Employee Master'!$H$10:$H$109,MATCH(B87,'Employee Master'!$A$10:$A$109,0)),"")</f>
        <v/>
      </c>
      <c r="E87" s="14">
        <f>IFERROR(INDEX('Employee Master'!$Q$10:$Q$109,MATCH(B87,'Employee Master'!$A$10:$A$109,0)),0)</f>
        <v>0</v>
      </c>
      <c r="F87" s="14">
        <f>IFERROR(INDEX('Employee Master'!$R$10:$R$109,MATCH(B87,'Employee Master'!$A$10:$A$109,0)),0)</f>
        <v>0</v>
      </c>
      <c r="G87" s="16"/>
      <c r="H87" s="16">
        <v>0</v>
      </c>
      <c r="I87" s="14">
        <f t="shared" si="6"/>
        <v>0</v>
      </c>
      <c r="J87" s="14">
        <f>SUMIFS('OT Tracker'!$G$10:$G$209,'OT Tracker'!$B$10:$B$209,B87)</f>
        <v>0</v>
      </c>
      <c r="K87" s="14">
        <v>0</v>
      </c>
      <c r="L87" s="14">
        <f>IFERROR(E87*Lists!$L$13*--(INDEX('Employee Master'!$S$10:$S$109,MATCH(B87,'Employee Master'!$A$10:$A$109,0))="Yes"),0)</f>
        <v>0</v>
      </c>
      <c r="M87" s="14">
        <f>IFERROR(F87*Lists!$L$14*--(INDEX('Employee Master'!$T$10:$T$109,MATCH(B87,'Employee Master'!$A$10:$A$109,0))="Yes"),0)</f>
        <v>0</v>
      </c>
      <c r="N87" s="14">
        <f t="shared" si="7"/>
        <v>0</v>
      </c>
      <c r="O87" s="14">
        <f t="shared" si="8"/>
        <v>0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spans="1:35" x14ac:dyDescent="0.3">
      <c r="A88" s="16"/>
      <c r="B88" s="16"/>
      <c r="C88" s="9" t="str">
        <f>IFERROR(INDEX('Employee Master'!$B$10:$B$109,MATCH(B88,'Employee Master'!$A$10:$A$109,0)),"")</f>
        <v/>
      </c>
      <c r="D88" s="9" t="str">
        <f>IFERROR(INDEX('Employee Master'!$H$10:$H$109,MATCH(B88,'Employee Master'!$A$10:$A$109,0)),"")</f>
        <v/>
      </c>
      <c r="E88" s="14">
        <f>IFERROR(INDEX('Employee Master'!$Q$10:$Q$109,MATCH(B88,'Employee Master'!$A$10:$A$109,0)),0)</f>
        <v>0</v>
      </c>
      <c r="F88" s="14">
        <f>IFERROR(INDEX('Employee Master'!$R$10:$R$109,MATCH(B88,'Employee Master'!$A$10:$A$109,0)),0)</f>
        <v>0</v>
      </c>
      <c r="G88" s="16"/>
      <c r="H88" s="16">
        <v>0</v>
      </c>
      <c r="I88" s="14">
        <f t="shared" si="6"/>
        <v>0</v>
      </c>
      <c r="J88" s="14">
        <f>SUMIFS('OT Tracker'!$G$10:$G$209,'OT Tracker'!$B$10:$B$209,B88)</f>
        <v>0</v>
      </c>
      <c r="K88" s="14">
        <v>0</v>
      </c>
      <c r="L88" s="14">
        <f>IFERROR(E88*Lists!$L$13*--(INDEX('Employee Master'!$S$10:$S$109,MATCH(B88,'Employee Master'!$A$10:$A$109,0))="Yes"),0)</f>
        <v>0</v>
      </c>
      <c r="M88" s="14">
        <f>IFERROR(F88*Lists!$L$14*--(INDEX('Employee Master'!$T$10:$T$109,MATCH(B88,'Employee Master'!$A$10:$A$109,0))="Yes"),0)</f>
        <v>0</v>
      </c>
      <c r="N88" s="14">
        <f t="shared" si="7"/>
        <v>0</v>
      </c>
      <c r="O88" s="14">
        <f t="shared" si="8"/>
        <v>0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spans="1:35" x14ac:dyDescent="0.3">
      <c r="A89" s="16"/>
      <c r="B89" s="16"/>
      <c r="C89" s="9" t="str">
        <f>IFERROR(INDEX('Employee Master'!$B$10:$B$109,MATCH(B89,'Employee Master'!$A$10:$A$109,0)),"")</f>
        <v/>
      </c>
      <c r="D89" s="9" t="str">
        <f>IFERROR(INDEX('Employee Master'!$H$10:$H$109,MATCH(B89,'Employee Master'!$A$10:$A$109,0)),"")</f>
        <v/>
      </c>
      <c r="E89" s="14">
        <f>IFERROR(INDEX('Employee Master'!$Q$10:$Q$109,MATCH(B89,'Employee Master'!$A$10:$A$109,0)),0)</f>
        <v>0</v>
      </c>
      <c r="F89" s="14">
        <f>IFERROR(INDEX('Employee Master'!$R$10:$R$109,MATCH(B89,'Employee Master'!$A$10:$A$109,0)),0)</f>
        <v>0</v>
      </c>
      <c r="G89" s="16"/>
      <c r="H89" s="16">
        <v>0</v>
      </c>
      <c r="I89" s="14">
        <f t="shared" si="6"/>
        <v>0</v>
      </c>
      <c r="J89" s="14">
        <f>SUMIFS('OT Tracker'!$G$10:$G$209,'OT Tracker'!$B$10:$B$209,B89)</f>
        <v>0</v>
      </c>
      <c r="K89" s="14">
        <v>0</v>
      </c>
      <c r="L89" s="14">
        <f>IFERROR(E89*Lists!$L$13*--(INDEX('Employee Master'!$S$10:$S$109,MATCH(B89,'Employee Master'!$A$10:$A$109,0))="Yes"),0)</f>
        <v>0</v>
      </c>
      <c r="M89" s="14">
        <f>IFERROR(F89*Lists!$L$14*--(INDEX('Employee Master'!$T$10:$T$109,MATCH(B89,'Employee Master'!$A$10:$A$109,0))="Yes"),0)</f>
        <v>0</v>
      </c>
      <c r="N89" s="14">
        <f t="shared" si="7"/>
        <v>0</v>
      </c>
      <c r="O89" s="14">
        <f t="shared" si="8"/>
        <v>0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spans="1:35" x14ac:dyDescent="0.3">
      <c r="A90" s="16"/>
      <c r="B90" s="16"/>
      <c r="C90" s="9" t="str">
        <f>IFERROR(INDEX('Employee Master'!$B$10:$B$109,MATCH(B90,'Employee Master'!$A$10:$A$109,0)),"")</f>
        <v/>
      </c>
      <c r="D90" s="9" t="str">
        <f>IFERROR(INDEX('Employee Master'!$H$10:$H$109,MATCH(B90,'Employee Master'!$A$10:$A$109,0)),"")</f>
        <v/>
      </c>
      <c r="E90" s="14">
        <f>IFERROR(INDEX('Employee Master'!$Q$10:$Q$109,MATCH(B90,'Employee Master'!$A$10:$A$109,0)),0)</f>
        <v>0</v>
      </c>
      <c r="F90" s="14">
        <f>IFERROR(INDEX('Employee Master'!$R$10:$R$109,MATCH(B90,'Employee Master'!$A$10:$A$109,0)),0)</f>
        <v>0</v>
      </c>
      <c r="G90" s="16"/>
      <c r="H90" s="16">
        <v>0</v>
      </c>
      <c r="I90" s="14">
        <f t="shared" si="6"/>
        <v>0</v>
      </c>
      <c r="J90" s="14">
        <f>SUMIFS('OT Tracker'!$G$10:$G$209,'OT Tracker'!$B$10:$B$209,B90)</f>
        <v>0</v>
      </c>
      <c r="K90" s="14">
        <v>0</v>
      </c>
      <c r="L90" s="14">
        <f>IFERROR(E90*Lists!$L$13*--(INDEX('Employee Master'!$S$10:$S$109,MATCH(B90,'Employee Master'!$A$10:$A$109,0))="Yes"),0)</f>
        <v>0</v>
      </c>
      <c r="M90" s="14">
        <f>IFERROR(F90*Lists!$L$14*--(INDEX('Employee Master'!$T$10:$T$109,MATCH(B90,'Employee Master'!$A$10:$A$109,0))="Yes"),0)</f>
        <v>0</v>
      </c>
      <c r="N90" s="14">
        <f t="shared" si="7"/>
        <v>0</v>
      </c>
      <c r="O90" s="14">
        <f t="shared" si="8"/>
        <v>0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spans="1:35" x14ac:dyDescent="0.3">
      <c r="A91" s="16"/>
      <c r="B91" s="16"/>
      <c r="C91" s="9" t="str">
        <f>IFERROR(INDEX('Employee Master'!$B$10:$B$109,MATCH(B91,'Employee Master'!$A$10:$A$109,0)),"")</f>
        <v/>
      </c>
      <c r="D91" s="9" t="str">
        <f>IFERROR(INDEX('Employee Master'!$H$10:$H$109,MATCH(B91,'Employee Master'!$A$10:$A$109,0)),"")</f>
        <v/>
      </c>
      <c r="E91" s="14">
        <f>IFERROR(INDEX('Employee Master'!$Q$10:$Q$109,MATCH(B91,'Employee Master'!$A$10:$A$109,0)),0)</f>
        <v>0</v>
      </c>
      <c r="F91" s="14">
        <f>IFERROR(INDEX('Employee Master'!$R$10:$R$109,MATCH(B91,'Employee Master'!$A$10:$A$109,0)),0)</f>
        <v>0</v>
      </c>
      <c r="G91" s="16"/>
      <c r="H91" s="16">
        <v>0</v>
      </c>
      <c r="I91" s="14">
        <f t="shared" si="6"/>
        <v>0</v>
      </c>
      <c r="J91" s="14">
        <f>SUMIFS('OT Tracker'!$G$10:$G$209,'OT Tracker'!$B$10:$B$209,B91)</f>
        <v>0</v>
      </c>
      <c r="K91" s="14">
        <v>0</v>
      </c>
      <c r="L91" s="14">
        <f>IFERROR(E91*Lists!$L$13*--(INDEX('Employee Master'!$S$10:$S$109,MATCH(B91,'Employee Master'!$A$10:$A$109,0))="Yes"),0)</f>
        <v>0</v>
      </c>
      <c r="M91" s="14">
        <f>IFERROR(F91*Lists!$L$14*--(INDEX('Employee Master'!$T$10:$T$109,MATCH(B91,'Employee Master'!$A$10:$A$109,0))="Yes"),0)</f>
        <v>0</v>
      </c>
      <c r="N91" s="14">
        <f t="shared" si="7"/>
        <v>0</v>
      </c>
      <c r="O91" s="14">
        <f t="shared" si="8"/>
        <v>0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spans="1:35" x14ac:dyDescent="0.3">
      <c r="A92" s="16"/>
      <c r="B92" s="16"/>
      <c r="C92" s="9" t="str">
        <f>IFERROR(INDEX('Employee Master'!$B$10:$B$109,MATCH(B92,'Employee Master'!$A$10:$A$109,0)),"")</f>
        <v/>
      </c>
      <c r="D92" s="9" t="str">
        <f>IFERROR(INDEX('Employee Master'!$H$10:$H$109,MATCH(B92,'Employee Master'!$A$10:$A$109,0)),"")</f>
        <v/>
      </c>
      <c r="E92" s="14">
        <f>IFERROR(INDEX('Employee Master'!$Q$10:$Q$109,MATCH(B92,'Employee Master'!$A$10:$A$109,0)),0)</f>
        <v>0</v>
      </c>
      <c r="F92" s="14">
        <f>IFERROR(INDEX('Employee Master'!$R$10:$R$109,MATCH(B92,'Employee Master'!$A$10:$A$109,0)),0)</f>
        <v>0</v>
      </c>
      <c r="G92" s="16"/>
      <c r="H92" s="16">
        <v>0</v>
      </c>
      <c r="I92" s="14">
        <f t="shared" si="6"/>
        <v>0</v>
      </c>
      <c r="J92" s="14">
        <f>SUMIFS('OT Tracker'!$G$10:$G$209,'OT Tracker'!$B$10:$B$209,B92)</f>
        <v>0</v>
      </c>
      <c r="K92" s="14">
        <v>0</v>
      </c>
      <c r="L92" s="14">
        <f>IFERROR(E92*Lists!$L$13*--(INDEX('Employee Master'!$S$10:$S$109,MATCH(B92,'Employee Master'!$A$10:$A$109,0))="Yes"),0)</f>
        <v>0</v>
      </c>
      <c r="M92" s="14">
        <f>IFERROR(F92*Lists!$L$14*--(INDEX('Employee Master'!$T$10:$T$109,MATCH(B92,'Employee Master'!$A$10:$A$109,0))="Yes"),0)</f>
        <v>0</v>
      </c>
      <c r="N92" s="14">
        <f t="shared" si="7"/>
        <v>0</v>
      </c>
      <c r="O92" s="14">
        <f t="shared" si="8"/>
        <v>0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spans="1:35" x14ac:dyDescent="0.3">
      <c r="A93" s="16"/>
      <c r="B93" s="16"/>
      <c r="C93" s="9" t="str">
        <f>IFERROR(INDEX('Employee Master'!$B$10:$B$109,MATCH(B93,'Employee Master'!$A$10:$A$109,0)),"")</f>
        <v/>
      </c>
      <c r="D93" s="9" t="str">
        <f>IFERROR(INDEX('Employee Master'!$H$10:$H$109,MATCH(B93,'Employee Master'!$A$10:$A$109,0)),"")</f>
        <v/>
      </c>
      <c r="E93" s="14">
        <f>IFERROR(INDEX('Employee Master'!$Q$10:$Q$109,MATCH(B93,'Employee Master'!$A$10:$A$109,0)),0)</f>
        <v>0</v>
      </c>
      <c r="F93" s="14">
        <f>IFERROR(INDEX('Employee Master'!$R$10:$R$109,MATCH(B93,'Employee Master'!$A$10:$A$109,0)),0)</f>
        <v>0</v>
      </c>
      <c r="G93" s="16"/>
      <c r="H93" s="16">
        <v>0</v>
      </c>
      <c r="I93" s="14">
        <f t="shared" si="6"/>
        <v>0</v>
      </c>
      <c r="J93" s="14">
        <f>SUMIFS('OT Tracker'!$G$10:$G$209,'OT Tracker'!$B$10:$B$209,B93)</f>
        <v>0</v>
      </c>
      <c r="K93" s="14">
        <v>0</v>
      </c>
      <c r="L93" s="14">
        <f>IFERROR(E93*Lists!$L$13*--(INDEX('Employee Master'!$S$10:$S$109,MATCH(B93,'Employee Master'!$A$10:$A$109,0))="Yes"),0)</f>
        <v>0</v>
      </c>
      <c r="M93" s="14">
        <f>IFERROR(F93*Lists!$L$14*--(INDEX('Employee Master'!$T$10:$T$109,MATCH(B93,'Employee Master'!$A$10:$A$109,0))="Yes"),0)</f>
        <v>0</v>
      </c>
      <c r="N93" s="14">
        <f t="shared" si="7"/>
        <v>0</v>
      </c>
      <c r="O93" s="14">
        <f t="shared" si="8"/>
        <v>0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spans="1:35" x14ac:dyDescent="0.3">
      <c r="A94" s="16"/>
      <c r="B94" s="16"/>
      <c r="C94" s="9" t="str">
        <f>IFERROR(INDEX('Employee Master'!$B$10:$B$109,MATCH(B94,'Employee Master'!$A$10:$A$109,0)),"")</f>
        <v/>
      </c>
      <c r="D94" s="9" t="str">
        <f>IFERROR(INDEX('Employee Master'!$H$10:$H$109,MATCH(B94,'Employee Master'!$A$10:$A$109,0)),"")</f>
        <v/>
      </c>
      <c r="E94" s="14">
        <f>IFERROR(INDEX('Employee Master'!$Q$10:$Q$109,MATCH(B94,'Employee Master'!$A$10:$A$109,0)),0)</f>
        <v>0</v>
      </c>
      <c r="F94" s="14">
        <f>IFERROR(INDEX('Employee Master'!$R$10:$R$109,MATCH(B94,'Employee Master'!$A$10:$A$109,0)),0)</f>
        <v>0</v>
      </c>
      <c r="G94" s="16"/>
      <c r="H94" s="16">
        <v>0</v>
      </c>
      <c r="I94" s="14">
        <f t="shared" si="6"/>
        <v>0</v>
      </c>
      <c r="J94" s="14">
        <f>SUMIFS('OT Tracker'!$G$10:$G$209,'OT Tracker'!$B$10:$B$209,B94)</f>
        <v>0</v>
      </c>
      <c r="K94" s="14">
        <v>0</v>
      </c>
      <c r="L94" s="14">
        <f>IFERROR(E94*Lists!$L$13*--(INDEX('Employee Master'!$S$10:$S$109,MATCH(B94,'Employee Master'!$A$10:$A$109,0))="Yes"),0)</f>
        <v>0</v>
      </c>
      <c r="M94" s="14">
        <f>IFERROR(F94*Lists!$L$14*--(INDEX('Employee Master'!$T$10:$T$109,MATCH(B94,'Employee Master'!$A$10:$A$109,0))="Yes"),0)</f>
        <v>0</v>
      </c>
      <c r="N94" s="14">
        <f t="shared" si="7"/>
        <v>0</v>
      </c>
      <c r="O94" s="14">
        <f t="shared" si="8"/>
        <v>0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spans="1:35" x14ac:dyDescent="0.3">
      <c r="A95" s="16"/>
      <c r="B95" s="16"/>
      <c r="C95" s="9" t="str">
        <f>IFERROR(INDEX('Employee Master'!$B$10:$B$109,MATCH(B95,'Employee Master'!$A$10:$A$109,0)),"")</f>
        <v/>
      </c>
      <c r="D95" s="9" t="str">
        <f>IFERROR(INDEX('Employee Master'!$H$10:$H$109,MATCH(B95,'Employee Master'!$A$10:$A$109,0)),"")</f>
        <v/>
      </c>
      <c r="E95" s="14">
        <f>IFERROR(INDEX('Employee Master'!$Q$10:$Q$109,MATCH(B95,'Employee Master'!$A$10:$A$109,0)),0)</f>
        <v>0</v>
      </c>
      <c r="F95" s="14">
        <f>IFERROR(INDEX('Employee Master'!$R$10:$R$109,MATCH(B95,'Employee Master'!$A$10:$A$109,0)),0)</f>
        <v>0</v>
      </c>
      <c r="G95" s="16"/>
      <c r="H95" s="16">
        <v>0</v>
      </c>
      <c r="I95" s="14">
        <f t="shared" si="6"/>
        <v>0</v>
      </c>
      <c r="J95" s="14">
        <f>SUMIFS('OT Tracker'!$G$10:$G$209,'OT Tracker'!$B$10:$B$209,B95)</f>
        <v>0</v>
      </c>
      <c r="K95" s="14">
        <v>0</v>
      </c>
      <c r="L95" s="14">
        <f>IFERROR(E95*Lists!$L$13*--(INDEX('Employee Master'!$S$10:$S$109,MATCH(B95,'Employee Master'!$A$10:$A$109,0))="Yes"),0)</f>
        <v>0</v>
      </c>
      <c r="M95" s="14">
        <f>IFERROR(F95*Lists!$L$14*--(INDEX('Employee Master'!$T$10:$T$109,MATCH(B95,'Employee Master'!$A$10:$A$109,0))="Yes"),0)</f>
        <v>0</v>
      </c>
      <c r="N95" s="14">
        <f t="shared" si="7"/>
        <v>0</v>
      </c>
      <c r="O95" s="14">
        <f t="shared" si="8"/>
        <v>0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x14ac:dyDescent="0.3">
      <c r="A96" s="16"/>
      <c r="B96" s="16"/>
      <c r="C96" s="9" t="str">
        <f>IFERROR(INDEX('Employee Master'!$B$10:$B$109,MATCH(B96,'Employee Master'!$A$10:$A$109,0)),"")</f>
        <v/>
      </c>
      <c r="D96" s="9" t="str">
        <f>IFERROR(INDEX('Employee Master'!$H$10:$H$109,MATCH(B96,'Employee Master'!$A$10:$A$109,0)),"")</f>
        <v/>
      </c>
      <c r="E96" s="14">
        <f>IFERROR(INDEX('Employee Master'!$Q$10:$Q$109,MATCH(B96,'Employee Master'!$A$10:$A$109,0)),0)</f>
        <v>0</v>
      </c>
      <c r="F96" s="14">
        <f>IFERROR(INDEX('Employee Master'!$R$10:$R$109,MATCH(B96,'Employee Master'!$A$10:$A$109,0)),0)</f>
        <v>0</v>
      </c>
      <c r="G96" s="16"/>
      <c r="H96" s="16">
        <v>0</v>
      </c>
      <c r="I96" s="14">
        <f t="shared" si="6"/>
        <v>0</v>
      </c>
      <c r="J96" s="14">
        <f>SUMIFS('OT Tracker'!$G$10:$G$209,'OT Tracker'!$B$10:$B$209,B96)</f>
        <v>0</v>
      </c>
      <c r="K96" s="14">
        <v>0</v>
      </c>
      <c r="L96" s="14">
        <f>IFERROR(E96*Lists!$L$13*--(INDEX('Employee Master'!$S$10:$S$109,MATCH(B96,'Employee Master'!$A$10:$A$109,0))="Yes"),0)</f>
        <v>0</v>
      </c>
      <c r="M96" s="14">
        <f>IFERROR(F96*Lists!$L$14*--(INDEX('Employee Master'!$T$10:$T$109,MATCH(B96,'Employee Master'!$A$10:$A$109,0))="Yes"),0)</f>
        <v>0</v>
      </c>
      <c r="N96" s="14">
        <f t="shared" si="7"/>
        <v>0</v>
      </c>
      <c r="O96" s="14">
        <f t="shared" si="8"/>
        <v>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spans="1:35" x14ac:dyDescent="0.3">
      <c r="A97" s="16"/>
      <c r="B97" s="16"/>
      <c r="C97" s="9" t="str">
        <f>IFERROR(INDEX('Employee Master'!$B$10:$B$109,MATCH(B97,'Employee Master'!$A$10:$A$109,0)),"")</f>
        <v/>
      </c>
      <c r="D97" s="9" t="str">
        <f>IFERROR(INDEX('Employee Master'!$H$10:$H$109,MATCH(B97,'Employee Master'!$A$10:$A$109,0)),"")</f>
        <v/>
      </c>
      <c r="E97" s="14">
        <f>IFERROR(INDEX('Employee Master'!$Q$10:$Q$109,MATCH(B97,'Employee Master'!$A$10:$A$109,0)),0)</f>
        <v>0</v>
      </c>
      <c r="F97" s="14">
        <f>IFERROR(INDEX('Employee Master'!$R$10:$R$109,MATCH(B97,'Employee Master'!$A$10:$A$109,0)),0)</f>
        <v>0</v>
      </c>
      <c r="G97" s="16"/>
      <c r="H97" s="16">
        <v>0</v>
      </c>
      <c r="I97" s="14">
        <f t="shared" si="6"/>
        <v>0</v>
      </c>
      <c r="J97" s="14">
        <f>SUMIFS('OT Tracker'!$G$10:$G$209,'OT Tracker'!$B$10:$B$209,B97)</f>
        <v>0</v>
      </c>
      <c r="K97" s="14">
        <v>0</v>
      </c>
      <c r="L97" s="14">
        <f>IFERROR(E97*Lists!$L$13*--(INDEX('Employee Master'!$S$10:$S$109,MATCH(B97,'Employee Master'!$A$10:$A$109,0))="Yes"),0)</f>
        <v>0</v>
      </c>
      <c r="M97" s="14">
        <f>IFERROR(F97*Lists!$L$14*--(INDEX('Employee Master'!$T$10:$T$109,MATCH(B97,'Employee Master'!$A$10:$A$109,0))="Yes"),0)</f>
        <v>0</v>
      </c>
      <c r="N97" s="14">
        <f t="shared" si="7"/>
        <v>0</v>
      </c>
      <c r="O97" s="14">
        <f t="shared" si="8"/>
        <v>0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 x14ac:dyDescent="0.3">
      <c r="A98" s="16"/>
      <c r="B98" s="16"/>
      <c r="C98" s="9" t="str">
        <f>IFERROR(INDEX('Employee Master'!$B$10:$B$109,MATCH(B98,'Employee Master'!$A$10:$A$109,0)),"")</f>
        <v/>
      </c>
      <c r="D98" s="9" t="str">
        <f>IFERROR(INDEX('Employee Master'!$H$10:$H$109,MATCH(B98,'Employee Master'!$A$10:$A$109,0)),"")</f>
        <v/>
      </c>
      <c r="E98" s="14">
        <f>IFERROR(INDEX('Employee Master'!$Q$10:$Q$109,MATCH(B98,'Employee Master'!$A$10:$A$109,0)),0)</f>
        <v>0</v>
      </c>
      <c r="F98" s="14">
        <f>IFERROR(INDEX('Employee Master'!$R$10:$R$109,MATCH(B98,'Employee Master'!$A$10:$A$109,0)),0)</f>
        <v>0</v>
      </c>
      <c r="G98" s="16"/>
      <c r="H98" s="16">
        <v>0</v>
      </c>
      <c r="I98" s="14">
        <f t="shared" si="6"/>
        <v>0</v>
      </c>
      <c r="J98" s="14">
        <f>SUMIFS('OT Tracker'!$G$10:$G$209,'OT Tracker'!$B$10:$B$209,B98)</f>
        <v>0</v>
      </c>
      <c r="K98" s="14">
        <v>0</v>
      </c>
      <c r="L98" s="14">
        <f>IFERROR(E98*Lists!$L$13*--(INDEX('Employee Master'!$S$10:$S$109,MATCH(B98,'Employee Master'!$A$10:$A$109,0))="Yes"),0)</f>
        <v>0</v>
      </c>
      <c r="M98" s="14">
        <f>IFERROR(F98*Lists!$L$14*--(INDEX('Employee Master'!$T$10:$T$109,MATCH(B98,'Employee Master'!$A$10:$A$109,0))="Yes"),0)</f>
        <v>0</v>
      </c>
      <c r="N98" s="14">
        <f t="shared" si="7"/>
        <v>0</v>
      </c>
      <c r="O98" s="14">
        <f t="shared" si="8"/>
        <v>0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x14ac:dyDescent="0.3">
      <c r="A99" s="16"/>
      <c r="B99" s="16"/>
      <c r="C99" s="9" t="str">
        <f>IFERROR(INDEX('Employee Master'!$B$10:$B$109,MATCH(B99,'Employee Master'!$A$10:$A$109,0)),"")</f>
        <v/>
      </c>
      <c r="D99" s="9" t="str">
        <f>IFERROR(INDEX('Employee Master'!$H$10:$H$109,MATCH(B99,'Employee Master'!$A$10:$A$109,0)),"")</f>
        <v/>
      </c>
      <c r="E99" s="14">
        <f>IFERROR(INDEX('Employee Master'!$Q$10:$Q$109,MATCH(B99,'Employee Master'!$A$10:$A$109,0)),0)</f>
        <v>0</v>
      </c>
      <c r="F99" s="14">
        <f>IFERROR(INDEX('Employee Master'!$R$10:$R$109,MATCH(B99,'Employee Master'!$A$10:$A$109,0)),0)</f>
        <v>0</v>
      </c>
      <c r="G99" s="16"/>
      <c r="H99" s="16">
        <v>0</v>
      </c>
      <c r="I99" s="14">
        <f t="shared" si="6"/>
        <v>0</v>
      </c>
      <c r="J99" s="14">
        <f>SUMIFS('OT Tracker'!$G$10:$G$209,'OT Tracker'!$B$10:$B$209,B99)</f>
        <v>0</v>
      </c>
      <c r="K99" s="14">
        <v>0</v>
      </c>
      <c r="L99" s="14">
        <f>IFERROR(E99*Lists!$L$13*--(INDEX('Employee Master'!$S$10:$S$109,MATCH(B99,'Employee Master'!$A$10:$A$109,0))="Yes"),0)</f>
        <v>0</v>
      </c>
      <c r="M99" s="14">
        <f>IFERROR(F99*Lists!$L$14*--(INDEX('Employee Master'!$T$10:$T$109,MATCH(B99,'Employee Master'!$A$10:$A$109,0))="Yes"),0)</f>
        <v>0</v>
      </c>
      <c r="N99" s="14">
        <f t="shared" si="7"/>
        <v>0</v>
      </c>
      <c r="O99" s="14">
        <f t="shared" si="8"/>
        <v>0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 x14ac:dyDescent="0.3">
      <c r="A100" s="16"/>
      <c r="B100" s="16"/>
      <c r="C100" s="9" t="str">
        <f>IFERROR(INDEX('Employee Master'!$B$10:$B$109,MATCH(B100,'Employee Master'!$A$10:$A$109,0)),"")</f>
        <v/>
      </c>
      <c r="D100" s="9" t="str">
        <f>IFERROR(INDEX('Employee Master'!$H$10:$H$109,MATCH(B100,'Employee Master'!$A$10:$A$109,0)),"")</f>
        <v/>
      </c>
      <c r="E100" s="14">
        <f>IFERROR(INDEX('Employee Master'!$Q$10:$Q$109,MATCH(B100,'Employee Master'!$A$10:$A$109,0)),0)</f>
        <v>0</v>
      </c>
      <c r="F100" s="14">
        <f>IFERROR(INDEX('Employee Master'!$R$10:$R$109,MATCH(B100,'Employee Master'!$A$10:$A$109,0)),0)</f>
        <v>0</v>
      </c>
      <c r="G100" s="16"/>
      <c r="H100" s="16">
        <v>0</v>
      </c>
      <c r="I100" s="14">
        <f t="shared" si="6"/>
        <v>0</v>
      </c>
      <c r="J100" s="14">
        <f>SUMIFS('OT Tracker'!$G$10:$G$209,'OT Tracker'!$B$10:$B$209,B100)</f>
        <v>0</v>
      </c>
      <c r="K100" s="14">
        <v>0</v>
      </c>
      <c r="L100" s="14">
        <f>IFERROR(E100*Lists!$L$13*--(INDEX('Employee Master'!$S$10:$S$109,MATCH(B100,'Employee Master'!$A$10:$A$109,0))="Yes"),0)</f>
        <v>0</v>
      </c>
      <c r="M100" s="14">
        <f>IFERROR(F100*Lists!$L$14*--(INDEX('Employee Master'!$T$10:$T$109,MATCH(B100,'Employee Master'!$A$10:$A$109,0))="Yes"),0)</f>
        <v>0</v>
      </c>
      <c r="N100" s="14">
        <f t="shared" si="7"/>
        <v>0</v>
      </c>
      <c r="O100" s="14">
        <f t="shared" si="8"/>
        <v>0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 x14ac:dyDescent="0.3">
      <c r="A101" s="16"/>
      <c r="B101" s="16"/>
      <c r="C101" s="9" t="str">
        <f>IFERROR(INDEX('Employee Master'!$B$10:$B$109,MATCH(B101,'Employee Master'!$A$10:$A$109,0)),"")</f>
        <v/>
      </c>
      <c r="D101" s="9" t="str">
        <f>IFERROR(INDEX('Employee Master'!$H$10:$H$109,MATCH(B101,'Employee Master'!$A$10:$A$109,0)),"")</f>
        <v/>
      </c>
      <c r="E101" s="14">
        <f>IFERROR(INDEX('Employee Master'!$Q$10:$Q$109,MATCH(B101,'Employee Master'!$A$10:$A$109,0)),0)</f>
        <v>0</v>
      </c>
      <c r="F101" s="14">
        <f>IFERROR(INDEX('Employee Master'!$R$10:$R$109,MATCH(B101,'Employee Master'!$A$10:$A$109,0)),0)</f>
        <v>0</v>
      </c>
      <c r="G101" s="16"/>
      <c r="H101" s="16">
        <v>0</v>
      </c>
      <c r="I101" s="14">
        <f t="shared" si="6"/>
        <v>0</v>
      </c>
      <c r="J101" s="14">
        <f>SUMIFS('OT Tracker'!$G$10:$G$209,'OT Tracker'!$B$10:$B$209,B101)</f>
        <v>0</v>
      </c>
      <c r="K101" s="14">
        <v>0</v>
      </c>
      <c r="L101" s="14">
        <f>IFERROR(E101*Lists!$L$13*--(INDEX('Employee Master'!$S$10:$S$109,MATCH(B101,'Employee Master'!$A$10:$A$109,0))="Yes"),0)</f>
        <v>0</v>
      </c>
      <c r="M101" s="14">
        <f>IFERROR(F101*Lists!$L$14*--(INDEX('Employee Master'!$T$10:$T$109,MATCH(B101,'Employee Master'!$A$10:$A$109,0))="Yes"),0)</f>
        <v>0</v>
      </c>
      <c r="N101" s="14">
        <f t="shared" si="7"/>
        <v>0</v>
      </c>
      <c r="O101" s="14">
        <f t="shared" si="8"/>
        <v>0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 x14ac:dyDescent="0.3">
      <c r="A102" s="16"/>
      <c r="B102" s="16"/>
      <c r="C102" s="9" t="str">
        <f>IFERROR(INDEX('Employee Master'!$B$10:$B$109,MATCH(B102,'Employee Master'!$A$10:$A$109,0)),"")</f>
        <v/>
      </c>
      <c r="D102" s="9" t="str">
        <f>IFERROR(INDEX('Employee Master'!$H$10:$H$109,MATCH(B102,'Employee Master'!$A$10:$A$109,0)),"")</f>
        <v/>
      </c>
      <c r="E102" s="14">
        <f>IFERROR(INDEX('Employee Master'!$Q$10:$Q$109,MATCH(B102,'Employee Master'!$A$10:$A$109,0)),0)</f>
        <v>0</v>
      </c>
      <c r="F102" s="14">
        <f>IFERROR(INDEX('Employee Master'!$R$10:$R$109,MATCH(B102,'Employee Master'!$A$10:$A$109,0)),0)</f>
        <v>0</v>
      </c>
      <c r="G102" s="16"/>
      <c r="H102" s="16">
        <v>0</v>
      </c>
      <c r="I102" s="14">
        <f t="shared" si="6"/>
        <v>0</v>
      </c>
      <c r="J102" s="14">
        <f>SUMIFS('OT Tracker'!$G$10:$G$209,'OT Tracker'!$B$10:$B$209,B102)</f>
        <v>0</v>
      </c>
      <c r="K102" s="14">
        <v>0</v>
      </c>
      <c r="L102" s="14">
        <f>IFERROR(E102*Lists!$L$13*--(INDEX('Employee Master'!$S$10:$S$109,MATCH(B102,'Employee Master'!$A$10:$A$109,0))="Yes"),0)</f>
        <v>0</v>
      </c>
      <c r="M102" s="14">
        <f>IFERROR(F102*Lists!$L$14*--(INDEX('Employee Master'!$T$10:$T$109,MATCH(B102,'Employee Master'!$A$10:$A$109,0))="Yes"),0)</f>
        <v>0</v>
      </c>
      <c r="N102" s="14">
        <f t="shared" si="7"/>
        <v>0</v>
      </c>
      <c r="O102" s="14">
        <f t="shared" si="8"/>
        <v>0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spans="1:35" x14ac:dyDescent="0.3">
      <c r="A103" s="16"/>
      <c r="B103" s="16"/>
      <c r="C103" s="9" t="str">
        <f>IFERROR(INDEX('Employee Master'!$B$10:$B$109,MATCH(B103,'Employee Master'!$A$10:$A$109,0)),"")</f>
        <v/>
      </c>
      <c r="D103" s="9" t="str">
        <f>IFERROR(INDEX('Employee Master'!$H$10:$H$109,MATCH(B103,'Employee Master'!$A$10:$A$109,0)),"")</f>
        <v/>
      </c>
      <c r="E103" s="14">
        <f>IFERROR(INDEX('Employee Master'!$Q$10:$Q$109,MATCH(B103,'Employee Master'!$A$10:$A$109,0)),0)</f>
        <v>0</v>
      </c>
      <c r="F103" s="14">
        <f>IFERROR(INDEX('Employee Master'!$R$10:$R$109,MATCH(B103,'Employee Master'!$A$10:$A$109,0)),0)</f>
        <v>0</v>
      </c>
      <c r="G103" s="16"/>
      <c r="H103" s="16">
        <v>0</v>
      </c>
      <c r="I103" s="14">
        <f t="shared" si="6"/>
        <v>0</v>
      </c>
      <c r="J103" s="14">
        <f>SUMIFS('OT Tracker'!$G$10:$G$209,'OT Tracker'!$B$10:$B$209,B103)</f>
        <v>0</v>
      </c>
      <c r="K103" s="14">
        <v>0</v>
      </c>
      <c r="L103" s="14">
        <f>IFERROR(E103*Lists!$L$13*--(INDEX('Employee Master'!$S$10:$S$109,MATCH(B103,'Employee Master'!$A$10:$A$109,0))="Yes"),0)</f>
        <v>0</v>
      </c>
      <c r="M103" s="14">
        <f>IFERROR(F103*Lists!$L$14*--(INDEX('Employee Master'!$T$10:$T$109,MATCH(B103,'Employee Master'!$A$10:$A$109,0))="Yes"),0)</f>
        <v>0</v>
      </c>
      <c r="N103" s="14">
        <f t="shared" si="7"/>
        <v>0</v>
      </c>
      <c r="O103" s="14">
        <f t="shared" si="8"/>
        <v>0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spans="1:35" x14ac:dyDescent="0.3">
      <c r="A104" s="16"/>
      <c r="B104" s="16"/>
      <c r="C104" s="9" t="str">
        <f>IFERROR(INDEX('Employee Master'!$B$10:$B$109,MATCH(B104,'Employee Master'!$A$10:$A$109,0)),"")</f>
        <v/>
      </c>
      <c r="D104" s="9" t="str">
        <f>IFERROR(INDEX('Employee Master'!$H$10:$H$109,MATCH(B104,'Employee Master'!$A$10:$A$109,0)),"")</f>
        <v/>
      </c>
      <c r="E104" s="14">
        <f>IFERROR(INDEX('Employee Master'!$Q$10:$Q$109,MATCH(B104,'Employee Master'!$A$10:$A$109,0)),0)</f>
        <v>0</v>
      </c>
      <c r="F104" s="14">
        <f>IFERROR(INDEX('Employee Master'!$R$10:$R$109,MATCH(B104,'Employee Master'!$A$10:$A$109,0)),0)</f>
        <v>0</v>
      </c>
      <c r="G104" s="16"/>
      <c r="H104" s="16">
        <v>0</v>
      </c>
      <c r="I104" s="14">
        <f t="shared" si="6"/>
        <v>0</v>
      </c>
      <c r="J104" s="14">
        <f>SUMIFS('OT Tracker'!$G$10:$G$209,'OT Tracker'!$B$10:$B$209,B104)</f>
        <v>0</v>
      </c>
      <c r="K104" s="14">
        <v>0</v>
      </c>
      <c r="L104" s="14">
        <f>IFERROR(E104*Lists!$L$13*--(INDEX('Employee Master'!$S$10:$S$109,MATCH(B104,'Employee Master'!$A$10:$A$109,0))="Yes"),0)</f>
        <v>0</v>
      </c>
      <c r="M104" s="14">
        <f>IFERROR(F104*Lists!$L$14*--(INDEX('Employee Master'!$T$10:$T$109,MATCH(B104,'Employee Master'!$A$10:$A$109,0))="Yes"),0)</f>
        <v>0</v>
      </c>
      <c r="N104" s="14">
        <f t="shared" si="7"/>
        <v>0</v>
      </c>
      <c r="O104" s="14">
        <f t="shared" si="8"/>
        <v>0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spans="1:35" x14ac:dyDescent="0.3">
      <c r="A105" s="16"/>
      <c r="B105" s="16"/>
      <c r="C105" s="9" t="str">
        <f>IFERROR(INDEX('Employee Master'!$B$10:$B$109,MATCH(B105,'Employee Master'!$A$10:$A$109,0)),"")</f>
        <v/>
      </c>
      <c r="D105" s="9" t="str">
        <f>IFERROR(INDEX('Employee Master'!$H$10:$H$109,MATCH(B105,'Employee Master'!$A$10:$A$109,0)),"")</f>
        <v/>
      </c>
      <c r="E105" s="14">
        <f>IFERROR(INDEX('Employee Master'!$Q$10:$Q$109,MATCH(B105,'Employee Master'!$A$10:$A$109,0)),0)</f>
        <v>0</v>
      </c>
      <c r="F105" s="14">
        <f>IFERROR(INDEX('Employee Master'!$R$10:$R$109,MATCH(B105,'Employee Master'!$A$10:$A$109,0)),0)</f>
        <v>0</v>
      </c>
      <c r="G105" s="16"/>
      <c r="H105" s="16">
        <v>0</v>
      </c>
      <c r="I105" s="14">
        <f t="shared" si="6"/>
        <v>0</v>
      </c>
      <c r="J105" s="14">
        <f>SUMIFS('OT Tracker'!$G$10:$G$209,'OT Tracker'!$B$10:$B$209,B105)</f>
        <v>0</v>
      </c>
      <c r="K105" s="14">
        <v>0</v>
      </c>
      <c r="L105" s="14">
        <f>IFERROR(E105*Lists!$L$13*--(INDEX('Employee Master'!$S$10:$S$109,MATCH(B105,'Employee Master'!$A$10:$A$109,0))="Yes"),0)</f>
        <v>0</v>
      </c>
      <c r="M105" s="14">
        <f>IFERROR(F105*Lists!$L$14*--(INDEX('Employee Master'!$T$10:$T$109,MATCH(B105,'Employee Master'!$A$10:$A$109,0))="Yes"),0)</f>
        <v>0</v>
      </c>
      <c r="N105" s="14">
        <f t="shared" si="7"/>
        <v>0</v>
      </c>
      <c r="O105" s="14">
        <f t="shared" si="8"/>
        <v>0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spans="1:35" x14ac:dyDescent="0.3">
      <c r="A106" s="16"/>
      <c r="B106" s="16"/>
      <c r="C106" s="9" t="str">
        <f>IFERROR(INDEX('Employee Master'!$B$10:$B$109,MATCH(B106,'Employee Master'!$A$10:$A$109,0)),"")</f>
        <v/>
      </c>
      <c r="D106" s="9" t="str">
        <f>IFERROR(INDEX('Employee Master'!$H$10:$H$109,MATCH(B106,'Employee Master'!$A$10:$A$109,0)),"")</f>
        <v/>
      </c>
      <c r="E106" s="14">
        <f>IFERROR(INDEX('Employee Master'!$Q$10:$Q$109,MATCH(B106,'Employee Master'!$A$10:$A$109,0)),0)</f>
        <v>0</v>
      </c>
      <c r="F106" s="14">
        <f>IFERROR(INDEX('Employee Master'!$R$10:$R$109,MATCH(B106,'Employee Master'!$A$10:$A$109,0)),0)</f>
        <v>0</v>
      </c>
      <c r="G106" s="16"/>
      <c r="H106" s="16">
        <v>0</v>
      </c>
      <c r="I106" s="14">
        <f t="shared" ref="I106:I137" si="9">IFERROR(F106/30*H106,0)</f>
        <v>0</v>
      </c>
      <c r="J106" s="14">
        <f>SUMIFS('OT Tracker'!$G$10:$G$209,'OT Tracker'!$B$10:$B$209,B106)</f>
        <v>0</v>
      </c>
      <c r="K106" s="14">
        <v>0</v>
      </c>
      <c r="L106" s="14">
        <f>IFERROR(E106*Lists!$L$13*--(INDEX('Employee Master'!$S$10:$S$109,MATCH(B106,'Employee Master'!$A$10:$A$109,0))="Yes"),0)</f>
        <v>0</v>
      </c>
      <c r="M106" s="14">
        <f>IFERROR(F106*Lists!$L$14*--(INDEX('Employee Master'!$T$10:$T$109,MATCH(B106,'Employee Master'!$A$10:$A$109,0))="Yes"),0)</f>
        <v>0</v>
      </c>
      <c r="N106" s="14">
        <f t="shared" ref="N106:N137" si="10">I106+K106+L106+M106</f>
        <v>0</v>
      </c>
      <c r="O106" s="14">
        <f t="shared" ref="O106:O137" si="11">F106+J106-N106</f>
        <v>0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spans="1:35" x14ac:dyDescent="0.3">
      <c r="A107" s="16"/>
      <c r="B107" s="16"/>
      <c r="C107" s="9" t="str">
        <f>IFERROR(INDEX('Employee Master'!$B$10:$B$109,MATCH(B107,'Employee Master'!$A$10:$A$109,0)),"")</f>
        <v/>
      </c>
      <c r="D107" s="9" t="str">
        <f>IFERROR(INDEX('Employee Master'!$H$10:$H$109,MATCH(B107,'Employee Master'!$A$10:$A$109,0)),"")</f>
        <v/>
      </c>
      <c r="E107" s="14">
        <f>IFERROR(INDEX('Employee Master'!$Q$10:$Q$109,MATCH(B107,'Employee Master'!$A$10:$A$109,0)),0)</f>
        <v>0</v>
      </c>
      <c r="F107" s="14">
        <f>IFERROR(INDEX('Employee Master'!$R$10:$R$109,MATCH(B107,'Employee Master'!$A$10:$A$109,0)),0)</f>
        <v>0</v>
      </c>
      <c r="G107" s="16"/>
      <c r="H107" s="16">
        <v>0</v>
      </c>
      <c r="I107" s="14">
        <f t="shared" si="9"/>
        <v>0</v>
      </c>
      <c r="J107" s="14">
        <f>SUMIFS('OT Tracker'!$G$10:$G$209,'OT Tracker'!$B$10:$B$209,B107)</f>
        <v>0</v>
      </c>
      <c r="K107" s="14">
        <v>0</v>
      </c>
      <c r="L107" s="14">
        <f>IFERROR(E107*Lists!$L$13*--(INDEX('Employee Master'!$S$10:$S$109,MATCH(B107,'Employee Master'!$A$10:$A$109,0))="Yes"),0)</f>
        <v>0</v>
      </c>
      <c r="M107" s="14">
        <f>IFERROR(F107*Lists!$L$14*--(INDEX('Employee Master'!$T$10:$T$109,MATCH(B107,'Employee Master'!$A$10:$A$109,0))="Yes"),0)</f>
        <v>0</v>
      </c>
      <c r="N107" s="14">
        <f t="shared" si="10"/>
        <v>0</v>
      </c>
      <c r="O107" s="14">
        <f t="shared" si="11"/>
        <v>0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spans="1:35" x14ac:dyDescent="0.3">
      <c r="A108" s="16"/>
      <c r="B108" s="16"/>
      <c r="C108" s="9" t="str">
        <f>IFERROR(INDEX('Employee Master'!$B$10:$B$109,MATCH(B108,'Employee Master'!$A$10:$A$109,0)),"")</f>
        <v/>
      </c>
      <c r="D108" s="9" t="str">
        <f>IFERROR(INDEX('Employee Master'!$H$10:$H$109,MATCH(B108,'Employee Master'!$A$10:$A$109,0)),"")</f>
        <v/>
      </c>
      <c r="E108" s="14">
        <f>IFERROR(INDEX('Employee Master'!$Q$10:$Q$109,MATCH(B108,'Employee Master'!$A$10:$A$109,0)),0)</f>
        <v>0</v>
      </c>
      <c r="F108" s="14">
        <f>IFERROR(INDEX('Employee Master'!$R$10:$R$109,MATCH(B108,'Employee Master'!$A$10:$A$109,0)),0)</f>
        <v>0</v>
      </c>
      <c r="G108" s="16"/>
      <c r="H108" s="16">
        <v>0</v>
      </c>
      <c r="I108" s="14">
        <f t="shared" si="9"/>
        <v>0</v>
      </c>
      <c r="J108" s="14">
        <f>SUMIFS('OT Tracker'!$G$10:$G$209,'OT Tracker'!$B$10:$B$209,B108)</f>
        <v>0</v>
      </c>
      <c r="K108" s="14">
        <v>0</v>
      </c>
      <c r="L108" s="14">
        <f>IFERROR(E108*Lists!$L$13*--(INDEX('Employee Master'!$S$10:$S$109,MATCH(B108,'Employee Master'!$A$10:$A$109,0))="Yes"),0)</f>
        <v>0</v>
      </c>
      <c r="M108" s="14">
        <f>IFERROR(F108*Lists!$L$14*--(INDEX('Employee Master'!$T$10:$T$109,MATCH(B108,'Employee Master'!$A$10:$A$109,0))="Yes"),0)</f>
        <v>0</v>
      </c>
      <c r="N108" s="14">
        <f t="shared" si="10"/>
        <v>0</v>
      </c>
      <c r="O108" s="14">
        <f t="shared" si="11"/>
        <v>0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spans="1:35" x14ac:dyDescent="0.3">
      <c r="A109" s="16"/>
      <c r="B109" s="16"/>
      <c r="C109" s="9" t="str">
        <f>IFERROR(INDEX('Employee Master'!$B$10:$B$109,MATCH(B109,'Employee Master'!$A$10:$A$109,0)),"")</f>
        <v/>
      </c>
      <c r="D109" s="9" t="str">
        <f>IFERROR(INDEX('Employee Master'!$H$10:$H$109,MATCH(B109,'Employee Master'!$A$10:$A$109,0)),"")</f>
        <v/>
      </c>
      <c r="E109" s="14">
        <f>IFERROR(INDEX('Employee Master'!$Q$10:$Q$109,MATCH(B109,'Employee Master'!$A$10:$A$109,0)),0)</f>
        <v>0</v>
      </c>
      <c r="F109" s="14">
        <f>IFERROR(INDEX('Employee Master'!$R$10:$R$109,MATCH(B109,'Employee Master'!$A$10:$A$109,0)),0)</f>
        <v>0</v>
      </c>
      <c r="G109" s="16"/>
      <c r="H109" s="16">
        <v>0</v>
      </c>
      <c r="I109" s="14">
        <f t="shared" si="9"/>
        <v>0</v>
      </c>
      <c r="J109" s="14">
        <f>SUMIFS('OT Tracker'!$G$10:$G$209,'OT Tracker'!$B$10:$B$209,B109)</f>
        <v>0</v>
      </c>
      <c r="K109" s="14">
        <v>0</v>
      </c>
      <c r="L109" s="14">
        <f>IFERROR(E109*Lists!$L$13*--(INDEX('Employee Master'!$S$10:$S$109,MATCH(B109,'Employee Master'!$A$10:$A$109,0))="Yes"),0)</f>
        <v>0</v>
      </c>
      <c r="M109" s="14">
        <f>IFERROR(F109*Lists!$L$14*--(INDEX('Employee Master'!$T$10:$T$109,MATCH(B109,'Employee Master'!$A$10:$A$109,0))="Yes"),0)</f>
        <v>0</v>
      </c>
      <c r="N109" s="14">
        <f t="shared" si="10"/>
        <v>0</v>
      </c>
      <c r="O109" s="14">
        <f t="shared" si="11"/>
        <v>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spans="1:35" x14ac:dyDescent="0.3">
      <c r="A110" s="16"/>
      <c r="B110" s="16"/>
      <c r="C110" s="9" t="str">
        <f>IFERROR(INDEX('Employee Master'!$B$10:$B$109,MATCH(B110,'Employee Master'!$A$10:$A$109,0)),"")</f>
        <v/>
      </c>
      <c r="D110" s="9" t="str">
        <f>IFERROR(INDEX('Employee Master'!$H$10:$H$109,MATCH(B110,'Employee Master'!$A$10:$A$109,0)),"")</f>
        <v/>
      </c>
      <c r="E110" s="14">
        <f>IFERROR(INDEX('Employee Master'!$Q$10:$Q$109,MATCH(B110,'Employee Master'!$A$10:$A$109,0)),0)</f>
        <v>0</v>
      </c>
      <c r="F110" s="14">
        <f>IFERROR(INDEX('Employee Master'!$R$10:$R$109,MATCH(B110,'Employee Master'!$A$10:$A$109,0)),0)</f>
        <v>0</v>
      </c>
      <c r="G110" s="16"/>
      <c r="H110" s="16">
        <v>0</v>
      </c>
      <c r="I110" s="14">
        <f t="shared" si="9"/>
        <v>0</v>
      </c>
      <c r="J110" s="14">
        <f>SUMIFS('OT Tracker'!$G$10:$G$209,'OT Tracker'!$B$10:$B$209,B110)</f>
        <v>0</v>
      </c>
      <c r="K110" s="14">
        <v>0</v>
      </c>
      <c r="L110" s="14">
        <f>IFERROR(E110*Lists!$L$13*--(INDEX('Employee Master'!$S$10:$S$109,MATCH(B110,'Employee Master'!$A$10:$A$109,0))="Yes"),0)</f>
        <v>0</v>
      </c>
      <c r="M110" s="14">
        <f>IFERROR(F110*Lists!$L$14*--(INDEX('Employee Master'!$T$10:$T$109,MATCH(B110,'Employee Master'!$A$10:$A$109,0))="Yes"),0)</f>
        <v>0</v>
      </c>
      <c r="N110" s="14">
        <f t="shared" si="10"/>
        <v>0</v>
      </c>
      <c r="O110" s="14">
        <f t="shared" si="11"/>
        <v>0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spans="1:35" x14ac:dyDescent="0.3">
      <c r="A111" s="16"/>
      <c r="B111" s="16"/>
      <c r="C111" s="9" t="str">
        <f>IFERROR(INDEX('Employee Master'!$B$10:$B$109,MATCH(B111,'Employee Master'!$A$10:$A$109,0)),"")</f>
        <v/>
      </c>
      <c r="D111" s="9" t="str">
        <f>IFERROR(INDEX('Employee Master'!$H$10:$H$109,MATCH(B111,'Employee Master'!$A$10:$A$109,0)),"")</f>
        <v/>
      </c>
      <c r="E111" s="14">
        <f>IFERROR(INDEX('Employee Master'!$Q$10:$Q$109,MATCH(B111,'Employee Master'!$A$10:$A$109,0)),0)</f>
        <v>0</v>
      </c>
      <c r="F111" s="14">
        <f>IFERROR(INDEX('Employee Master'!$R$10:$R$109,MATCH(B111,'Employee Master'!$A$10:$A$109,0)),0)</f>
        <v>0</v>
      </c>
      <c r="G111" s="16"/>
      <c r="H111" s="16">
        <v>0</v>
      </c>
      <c r="I111" s="14">
        <f t="shared" si="9"/>
        <v>0</v>
      </c>
      <c r="J111" s="14">
        <f>SUMIFS('OT Tracker'!$G$10:$G$209,'OT Tracker'!$B$10:$B$209,B111)</f>
        <v>0</v>
      </c>
      <c r="K111" s="14">
        <v>0</v>
      </c>
      <c r="L111" s="14">
        <f>IFERROR(E111*Lists!$L$13*--(INDEX('Employee Master'!$S$10:$S$109,MATCH(B111,'Employee Master'!$A$10:$A$109,0))="Yes"),0)</f>
        <v>0</v>
      </c>
      <c r="M111" s="14">
        <f>IFERROR(F111*Lists!$L$14*--(INDEX('Employee Master'!$T$10:$T$109,MATCH(B111,'Employee Master'!$A$10:$A$109,0))="Yes"),0)</f>
        <v>0</v>
      </c>
      <c r="N111" s="14">
        <f t="shared" si="10"/>
        <v>0</v>
      </c>
      <c r="O111" s="14">
        <f t="shared" si="11"/>
        <v>0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spans="1:35" x14ac:dyDescent="0.3">
      <c r="A112" s="16"/>
      <c r="B112" s="16"/>
      <c r="C112" s="9" t="str">
        <f>IFERROR(INDEX('Employee Master'!$B$10:$B$109,MATCH(B112,'Employee Master'!$A$10:$A$109,0)),"")</f>
        <v/>
      </c>
      <c r="D112" s="9" t="str">
        <f>IFERROR(INDEX('Employee Master'!$H$10:$H$109,MATCH(B112,'Employee Master'!$A$10:$A$109,0)),"")</f>
        <v/>
      </c>
      <c r="E112" s="14">
        <f>IFERROR(INDEX('Employee Master'!$Q$10:$Q$109,MATCH(B112,'Employee Master'!$A$10:$A$109,0)),0)</f>
        <v>0</v>
      </c>
      <c r="F112" s="14">
        <f>IFERROR(INDEX('Employee Master'!$R$10:$R$109,MATCH(B112,'Employee Master'!$A$10:$A$109,0)),0)</f>
        <v>0</v>
      </c>
      <c r="G112" s="16"/>
      <c r="H112" s="16">
        <v>0</v>
      </c>
      <c r="I112" s="14">
        <f t="shared" si="9"/>
        <v>0</v>
      </c>
      <c r="J112" s="14">
        <f>SUMIFS('OT Tracker'!$G$10:$G$209,'OT Tracker'!$B$10:$B$209,B112)</f>
        <v>0</v>
      </c>
      <c r="K112" s="14">
        <v>0</v>
      </c>
      <c r="L112" s="14">
        <f>IFERROR(E112*Lists!$L$13*--(INDEX('Employee Master'!$S$10:$S$109,MATCH(B112,'Employee Master'!$A$10:$A$109,0))="Yes"),0)</f>
        <v>0</v>
      </c>
      <c r="M112" s="14">
        <f>IFERROR(F112*Lists!$L$14*--(INDEX('Employee Master'!$T$10:$T$109,MATCH(B112,'Employee Master'!$A$10:$A$109,0))="Yes"),0)</f>
        <v>0</v>
      </c>
      <c r="N112" s="14">
        <f t="shared" si="10"/>
        <v>0</v>
      </c>
      <c r="O112" s="14">
        <f t="shared" si="11"/>
        <v>0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spans="1:35" x14ac:dyDescent="0.3">
      <c r="A113" s="16"/>
      <c r="B113" s="16"/>
      <c r="C113" s="9" t="str">
        <f>IFERROR(INDEX('Employee Master'!$B$10:$B$109,MATCH(B113,'Employee Master'!$A$10:$A$109,0)),"")</f>
        <v/>
      </c>
      <c r="D113" s="9" t="str">
        <f>IFERROR(INDEX('Employee Master'!$H$10:$H$109,MATCH(B113,'Employee Master'!$A$10:$A$109,0)),"")</f>
        <v/>
      </c>
      <c r="E113" s="14">
        <f>IFERROR(INDEX('Employee Master'!$Q$10:$Q$109,MATCH(B113,'Employee Master'!$A$10:$A$109,0)),0)</f>
        <v>0</v>
      </c>
      <c r="F113" s="14">
        <f>IFERROR(INDEX('Employee Master'!$R$10:$R$109,MATCH(B113,'Employee Master'!$A$10:$A$109,0)),0)</f>
        <v>0</v>
      </c>
      <c r="G113" s="16"/>
      <c r="H113" s="16">
        <v>0</v>
      </c>
      <c r="I113" s="14">
        <f t="shared" si="9"/>
        <v>0</v>
      </c>
      <c r="J113" s="14">
        <f>SUMIFS('OT Tracker'!$G$10:$G$209,'OT Tracker'!$B$10:$B$209,B113)</f>
        <v>0</v>
      </c>
      <c r="K113" s="14">
        <v>0</v>
      </c>
      <c r="L113" s="14">
        <f>IFERROR(E113*Lists!$L$13*--(INDEX('Employee Master'!$S$10:$S$109,MATCH(B113,'Employee Master'!$A$10:$A$109,0))="Yes"),0)</f>
        <v>0</v>
      </c>
      <c r="M113" s="14">
        <f>IFERROR(F113*Lists!$L$14*--(INDEX('Employee Master'!$T$10:$T$109,MATCH(B113,'Employee Master'!$A$10:$A$109,0))="Yes"),0)</f>
        <v>0</v>
      </c>
      <c r="N113" s="14">
        <f t="shared" si="10"/>
        <v>0</v>
      </c>
      <c r="O113" s="14">
        <f t="shared" si="11"/>
        <v>0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spans="1:35" x14ac:dyDescent="0.3">
      <c r="A114" s="16"/>
      <c r="B114" s="16"/>
      <c r="C114" s="9" t="str">
        <f>IFERROR(INDEX('Employee Master'!$B$10:$B$109,MATCH(B114,'Employee Master'!$A$10:$A$109,0)),"")</f>
        <v/>
      </c>
      <c r="D114" s="9" t="str">
        <f>IFERROR(INDEX('Employee Master'!$H$10:$H$109,MATCH(B114,'Employee Master'!$A$10:$A$109,0)),"")</f>
        <v/>
      </c>
      <c r="E114" s="14">
        <f>IFERROR(INDEX('Employee Master'!$Q$10:$Q$109,MATCH(B114,'Employee Master'!$A$10:$A$109,0)),0)</f>
        <v>0</v>
      </c>
      <c r="F114" s="14">
        <f>IFERROR(INDEX('Employee Master'!$R$10:$R$109,MATCH(B114,'Employee Master'!$A$10:$A$109,0)),0)</f>
        <v>0</v>
      </c>
      <c r="G114" s="16"/>
      <c r="H114" s="16">
        <v>0</v>
      </c>
      <c r="I114" s="14">
        <f t="shared" si="9"/>
        <v>0</v>
      </c>
      <c r="J114" s="14">
        <f>SUMIFS('OT Tracker'!$G$10:$G$209,'OT Tracker'!$B$10:$B$209,B114)</f>
        <v>0</v>
      </c>
      <c r="K114" s="14">
        <v>0</v>
      </c>
      <c r="L114" s="14">
        <f>IFERROR(E114*Lists!$L$13*--(INDEX('Employee Master'!$S$10:$S$109,MATCH(B114,'Employee Master'!$A$10:$A$109,0))="Yes"),0)</f>
        <v>0</v>
      </c>
      <c r="M114" s="14">
        <f>IFERROR(F114*Lists!$L$14*--(INDEX('Employee Master'!$T$10:$T$109,MATCH(B114,'Employee Master'!$A$10:$A$109,0))="Yes"),0)</f>
        <v>0</v>
      </c>
      <c r="N114" s="14">
        <f t="shared" si="10"/>
        <v>0</v>
      </c>
      <c r="O114" s="14">
        <f t="shared" si="11"/>
        <v>0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spans="1:35" x14ac:dyDescent="0.3">
      <c r="A115" s="16"/>
      <c r="B115" s="16"/>
      <c r="C115" s="9" t="str">
        <f>IFERROR(INDEX('Employee Master'!$B$10:$B$109,MATCH(B115,'Employee Master'!$A$10:$A$109,0)),"")</f>
        <v/>
      </c>
      <c r="D115" s="9" t="str">
        <f>IFERROR(INDEX('Employee Master'!$H$10:$H$109,MATCH(B115,'Employee Master'!$A$10:$A$109,0)),"")</f>
        <v/>
      </c>
      <c r="E115" s="14">
        <f>IFERROR(INDEX('Employee Master'!$Q$10:$Q$109,MATCH(B115,'Employee Master'!$A$10:$A$109,0)),0)</f>
        <v>0</v>
      </c>
      <c r="F115" s="14">
        <f>IFERROR(INDEX('Employee Master'!$R$10:$R$109,MATCH(B115,'Employee Master'!$A$10:$A$109,0)),0)</f>
        <v>0</v>
      </c>
      <c r="G115" s="16"/>
      <c r="H115" s="16">
        <v>0</v>
      </c>
      <c r="I115" s="14">
        <f t="shared" si="9"/>
        <v>0</v>
      </c>
      <c r="J115" s="14">
        <f>SUMIFS('OT Tracker'!$G$10:$G$209,'OT Tracker'!$B$10:$B$209,B115)</f>
        <v>0</v>
      </c>
      <c r="K115" s="14">
        <v>0</v>
      </c>
      <c r="L115" s="14">
        <f>IFERROR(E115*Lists!$L$13*--(INDEX('Employee Master'!$S$10:$S$109,MATCH(B115,'Employee Master'!$A$10:$A$109,0))="Yes"),0)</f>
        <v>0</v>
      </c>
      <c r="M115" s="14">
        <f>IFERROR(F115*Lists!$L$14*--(INDEX('Employee Master'!$T$10:$T$109,MATCH(B115,'Employee Master'!$A$10:$A$109,0))="Yes"),0)</f>
        <v>0</v>
      </c>
      <c r="N115" s="14">
        <f t="shared" si="10"/>
        <v>0</v>
      </c>
      <c r="O115" s="14">
        <f t="shared" si="11"/>
        <v>0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spans="1:35" x14ac:dyDescent="0.3">
      <c r="A116" s="16"/>
      <c r="B116" s="16"/>
      <c r="C116" s="9" t="str">
        <f>IFERROR(INDEX('Employee Master'!$B$10:$B$109,MATCH(B116,'Employee Master'!$A$10:$A$109,0)),"")</f>
        <v/>
      </c>
      <c r="D116" s="9" t="str">
        <f>IFERROR(INDEX('Employee Master'!$H$10:$H$109,MATCH(B116,'Employee Master'!$A$10:$A$109,0)),"")</f>
        <v/>
      </c>
      <c r="E116" s="14">
        <f>IFERROR(INDEX('Employee Master'!$Q$10:$Q$109,MATCH(B116,'Employee Master'!$A$10:$A$109,0)),0)</f>
        <v>0</v>
      </c>
      <c r="F116" s="14">
        <f>IFERROR(INDEX('Employee Master'!$R$10:$R$109,MATCH(B116,'Employee Master'!$A$10:$A$109,0)),0)</f>
        <v>0</v>
      </c>
      <c r="G116" s="16"/>
      <c r="H116" s="16">
        <v>0</v>
      </c>
      <c r="I116" s="14">
        <f t="shared" si="9"/>
        <v>0</v>
      </c>
      <c r="J116" s="14">
        <f>SUMIFS('OT Tracker'!$G$10:$G$209,'OT Tracker'!$B$10:$B$209,B116)</f>
        <v>0</v>
      </c>
      <c r="K116" s="14">
        <v>0</v>
      </c>
      <c r="L116" s="14">
        <f>IFERROR(E116*Lists!$L$13*--(INDEX('Employee Master'!$S$10:$S$109,MATCH(B116,'Employee Master'!$A$10:$A$109,0))="Yes"),0)</f>
        <v>0</v>
      </c>
      <c r="M116" s="14">
        <f>IFERROR(F116*Lists!$L$14*--(INDEX('Employee Master'!$T$10:$T$109,MATCH(B116,'Employee Master'!$A$10:$A$109,0))="Yes"),0)</f>
        <v>0</v>
      </c>
      <c r="N116" s="14">
        <f t="shared" si="10"/>
        <v>0</v>
      </c>
      <c r="O116" s="14">
        <f t="shared" si="11"/>
        <v>0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spans="1:35" x14ac:dyDescent="0.3">
      <c r="A117" s="16"/>
      <c r="B117" s="16"/>
      <c r="C117" s="9" t="str">
        <f>IFERROR(INDEX('Employee Master'!$B$10:$B$109,MATCH(B117,'Employee Master'!$A$10:$A$109,0)),"")</f>
        <v/>
      </c>
      <c r="D117" s="9" t="str">
        <f>IFERROR(INDEX('Employee Master'!$H$10:$H$109,MATCH(B117,'Employee Master'!$A$10:$A$109,0)),"")</f>
        <v/>
      </c>
      <c r="E117" s="14">
        <f>IFERROR(INDEX('Employee Master'!$Q$10:$Q$109,MATCH(B117,'Employee Master'!$A$10:$A$109,0)),0)</f>
        <v>0</v>
      </c>
      <c r="F117" s="14">
        <f>IFERROR(INDEX('Employee Master'!$R$10:$R$109,MATCH(B117,'Employee Master'!$A$10:$A$109,0)),0)</f>
        <v>0</v>
      </c>
      <c r="G117" s="16"/>
      <c r="H117" s="16">
        <v>0</v>
      </c>
      <c r="I117" s="14">
        <f t="shared" si="9"/>
        <v>0</v>
      </c>
      <c r="J117" s="14">
        <f>SUMIFS('OT Tracker'!$G$10:$G$209,'OT Tracker'!$B$10:$B$209,B117)</f>
        <v>0</v>
      </c>
      <c r="K117" s="14">
        <v>0</v>
      </c>
      <c r="L117" s="14">
        <f>IFERROR(E117*Lists!$L$13*--(INDEX('Employee Master'!$S$10:$S$109,MATCH(B117,'Employee Master'!$A$10:$A$109,0))="Yes"),0)</f>
        <v>0</v>
      </c>
      <c r="M117" s="14">
        <f>IFERROR(F117*Lists!$L$14*--(INDEX('Employee Master'!$T$10:$T$109,MATCH(B117,'Employee Master'!$A$10:$A$109,0))="Yes"),0)</f>
        <v>0</v>
      </c>
      <c r="N117" s="14">
        <f t="shared" si="10"/>
        <v>0</v>
      </c>
      <c r="O117" s="14">
        <f t="shared" si="11"/>
        <v>0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spans="1:35" x14ac:dyDescent="0.3">
      <c r="A118" s="16"/>
      <c r="B118" s="16"/>
      <c r="C118" s="9" t="str">
        <f>IFERROR(INDEX('Employee Master'!$B$10:$B$109,MATCH(B118,'Employee Master'!$A$10:$A$109,0)),"")</f>
        <v/>
      </c>
      <c r="D118" s="9" t="str">
        <f>IFERROR(INDEX('Employee Master'!$H$10:$H$109,MATCH(B118,'Employee Master'!$A$10:$A$109,0)),"")</f>
        <v/>
      </c>
      <c r="E118" s="14">
        <f>IFERROR(INDEX('Employee Master'!$Q$10:$Q$109,MATCH(B118,'Employee Master'!$A$10:$A$109,0)),0)</f>
        <v>0</v>
      </c>
      <c r="F118" s="14">
        <f>IFERROR(INDEX('Employee Master'!$R$10:$R$109,MATCH(B118,'Employee Master'!$A$10:$A$109,0)),0)</f>
        <v>0</v>
      </c>
      <c r="G118" s="16"/>
      <c r="H118" s="16">
        <v>0</v>
      </c>
      <c r="I118" s="14">
        <f t="shared" si="9"/>
        <v>0</v>
      </c>
      <c r="J118" s="14">
        <f>SUMIFS('OT Tracker'!$G$10:$G$209,'OT Tracker'!$B$10:$B$209,B118)</f>
        <v>0</v>
      </c>
      <c r="K118" s="14">
        <v>0</v>
      </c>
      <c r="L118" s="14">
        <f>IFERROR(E118*Lists!$L$13*--(INDEX('Employee Master'!$S$10:$S$109,MATCH(B118,'Employee Master'!$A$10:$A$109,0))="Yes"),0)</f>
        <v>0</v>
      </c>
      <c r="M118" s="14">
        <f>IFERROR(F118*Lists!$L$14*--(INDEX('Employee Master'!$T$10:$T$109,MATCH(B118,'Employee Master'!$A$10:$A$109,0))="Yes"),0)</f>
        <v>0</v>
      </c>
      <c r="N118" s="14">
        <f t="shared" si="10"/>
        <v>0</v>
      </c>
      <c r="O118" s="14">
        <f t="shared" si="11"/>
        <v>0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5" x14ac:dyDescent="0.3">
      <c r="A119" s="16"/>
      <c r="B119" s="16"/>
      <c r="C119" s="9" t="str">
        <f>IFERROR(INDEX('Employee Master'!$B$10:$B$109,MATCH(B119,'Employee Master'!$A$10:$A$109,0)),"")</f>
        <v/>
      </c>
      <c r="D119" s="9" t="str">
        <f>IFERROR(INDEX('Employee Master'!$H$10:$H$109,MATCH(B119,'Employee Master'!$A$10:$A$109,0)),"")</f>
        <v/>
      </c>
      <c r="E119" s="14">
        <f>IFERROR(INDEX('Employee Master'!$Q$10:$Q$109,MATCH(B119,'Employee Master'!$A$10:$A$109,0)),0)</f>
        <v>0</v>
      </c>
      <c r="F119" s="14">
        <f>IFERROR(INDEX('Employee Master'!$R$10:$R$109,MATCH(B119,'Employee Master'!$A$10:$A$109,0)),0)</f>
        <v>0</v>
      </c>
      <c r="G119" s="16"/>
      <c r="H119" s="16">
        <v>0</v>
      </c>
      <c r="I119" s="14">
        <f t="shared" si="9"/>
        <v>0</v>
      </c>
      <c r="J119" s="14">
        <f>SUMIFS('OT Tracker'!$G$10:$G$209,'OT Tracker'!$B$10:$B$209,B119)</f>
        <v>0</v>
      </c>
      <c r="K119" s="14">
        <v>0</v>
      </c>
      <c r="L119" s="14">
        <f>IFERROR(E119*Lists!$L$13*--(INDEX('Employee Master'!$S$10:$S$109,MATCH(B119,'Employee Master'!$A$10:$A$109,0))="Yes"),0)</f>
        <v>0</v>
      </c>
      <c r="M119" s="14">
        <f>IFERROR(F119*Lists!$L$14*--(INDEX('Employee Master'!$T$10:$T$109,MATCH(B119,'Employee Master'!$A$10:$A$109,0))="Yes"),0)</f>
        <v>0</v>
      </c>
      <c r="N119" s="14">
        <f t="shared" si="10"/>
        <v>0</v>
      </c>
      <c r="O119" s="14">
        <f t="shared" si="11"/>
        <v>0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spans="1:35" x14ac:dyDescent="0.3">
      <c r="A120" s="16"/>
      <c r="B120" s="16"/>
      <c r="C120" s="9" t="str">
        <f>IFERROR(INDEX('Employee Master'!$B$10:$B$109,MATCH(B120,'Employee Master'!$A$10:$A$109,0)),"")</f>
        <v/>
      </c>
      <c r="D120" s="9" t="str">
        <f>IFERROR(INDEX('Employee Master'!$H$10:$H$109,MATCH(B120,'Employee Master'!$A$10:$A$109,0)),"")</f>
        <v/>
      </c>
      <c r="E120" s="14">
        <f>IFERROR(INDEX('Employee Master'!$Q$10:$Q$109,MATCH(B120,'Employee Master'!$A$10:$A$109,0)),0)</f>
        <v>0</v>
      </c>
      <c r="F120" s="14">
        <f>IFERROR(INDEX('Employee Master'!$R$10:$R$109,MATCH(B120,'Employee Master'!$A$10:$A$109,0)),0)</f>
        <v>0</v>
      </c>
      <c r="G120" s="16"/>
      <c r="H120" s="16">
        <v>0</v>
      </c>
      <c r="I120" s="14">
        <f t="shared" si="9"/>
        <v>0</v>
      </c>
      <c r="J120" s="14">
        <f>SUMIFS('OT Tracker'!$G$10:$G$209,'OT Tracker'!$B$10:$B$209,B120)</f>
        <v>0</v>
      </c>
      <c r="K120" s="14">
        <v>0</v>
      </c>
      <c r="L120" s="14">
        <f>IFERROR(E120*Lists!$L$13*--(INDEX('Employee Master'!$S$10:$S$109,MATCH(B120,'Employee Master'!$A$10:$A$109,0))="Yes"),0)</f>
        <v>0</v>
      </c>
      <c r="M120" s="14">
        <f>IFERROR(F120*Lists!$L$14*--(INDEX('Employee Master'!$T$10:$T$109,MATCH(B120,'Employee Master'!$A$10:$A$109,0))="Yes"),0)</f>
        <v>0</v>
      </c>
      <c r="N120" s="14">
        <f t="shared" si="10"/>
        <v>0</v>
      </c>
      <c r="O120" s="14">
        <f t="shared" si="11"/>
        <v>0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spans="1:35" x14ac:dyDescent="0.3">
      <c r="A121" s="16"/>
      <c r="B121" s="16"/>
      <c r="C121" s="9" t="str">
        <f>IFERROR(INDEX('Employee Master'!$B$10:$B$109,MATCH(B121,'Employee Master'!$A$10:$A$109,0)),"")</f>
        <v/>
      </c>
      <c r="D121" s="9" t="str">
        <f>IFERROR(INDEX('Employee Master'!$H$10:$H$109,MATCH(B121,'Employee Master'!$A$10:$A$109,0)),"")</f>
        <v/>
      </c>
      <c r="E121" s="14">
        <f>IFERROR(INDEX('Employee Master'!$Q$10:$Q$109,MATCH(B121,'Employee Master'!$A$10:$A$109,0)),0)</f>
        <v>0</v>
      </c>
      <c r="F121" s="14">
        <f>IFERROR(INDEX('Employee Master'!$R$10:$R$109,MATCH(B121,'Employee Master'!$A$10:$A$109,0)),0)</f>
        <v>0</v>
      </c>
      <c r="G121" s="16"/>
      <c r="H121" s="16">
        <v>0</v>
      </c>
      <c r="I121" s="14">
        <f t="shared" si="9"/>
        <v>0</v>
      </c>
      <c r="J121" s="14">
        <f>SUMIFS('OT Tracker'!$G$10:$G$209,'OT Tracker'!$B$10:$B$209,B121)</f>
        <v>0</v>
      </c>
      <c r="K121" s="14">
        <v>0</v>
      </c>
      <c r="L121" s="14">
        <f>IFERROR(E121*Lists!$L$13*--(INDEX('Employee Master'!$S$10:$S$109,MATCH(B121,'Employee Master'!$A$10:$A$109,0))="Yes"),0)</f>
        <v>0</v>
      </c>
      <c r="M121" s="14">
        <f>IFERROR(F121*Lists!$L$14*--(INDEX('Employee Master'!$T$10:$T$109,MATCH(B121,'Employee Master'!$A$10:$A$109,0))="Yes"),0)</f>
        <v>0</v>
      </c>
      <c r="N121" s="14">
        <f t="shared" si="10"/>
        <v>0</v>
      </c>
      <c r="O121" s="14">
        <f t="shared" si="11"/>
        <v>0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spans="1:35" x14ac:dyDescent="0.3">
      <c r="A122" s="16"/>
      <c r="B122" s="16"/>
      <c r="C122" s="9" t="str">
        <f>IFERROR(INDEX('Employee Master'!$B$10:$B$109,MATCH(B122,'Employee Master'!$A$10:$A$109,0)),"")</f>
        <v/>
      </c>
      <c r="D122" s="9" t="str">
        <f>IFERROR(INDEX('Employee Master'!$H$10:$H$109,MATCH(B122,'Employee Master'!$A$10:$A$109,0)),"")</f>
        <v/>
      </c>
      <c r="E122" s="14">
        <f>IFERROR(INDEX('Employee Master'!$Q$10:$Q$109,MATCH(B122,'Employee Master'!$A$10:$A$109,0)),0)</f>
        <v>0</v>
      </c>
      <c r="F122" s="14">
        <f>IFERROR(INDEX('Employee Master'!$R$10:$R$109,MATCH(B122,'Employee Master'!$A$10:$A$109,0)),0)</f>
        <v>0</v>
      </c>
      <c r="G122" s="16"/>
      <c r="H122" s="16">
        <v>0</v>
      </c>
      <c r="I122" s="14">
        <f t="shared" si="9"/>
        <v>0</v>
      </c>
      <c r="J122" s="14">
        <f>SUMIFS('OT Tracker'!$G$10:$G$209,'OT Tracker'!$B$10:$B$209,B122)</f>
        <v>0</v>
      </c>
      <c r="K122" s="14">
        <v>0</v>
      </c>
      <c r="L122" s="14">
        <f>IFERROR(E122*Lists!$L$13*--(INDEX('Employee Master'!$S$10:$S$109,MATCH(B122,'Employee Master'!$A$10:$A$109,0))="Yes"),0)</f>
        <v>0</v>
      </c>
      <c r="M122" s="14">
        <f>IFERROR(F122*Lists!$L$14*--(INDEX('Employee Master'!$T$10:$T$109,MATCH(B122,'Employee Master'!$A$10:$A$109,0))="Yes"),0)</f>
        <v>0</v>
      </c>
      <c r="N122" s="14">
        <f t="shared" si="10"/>
        <v>0</v>
      </c>
      <c r="O122" s="14">
        <f t="shared" si="11"/>
        <v>0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spans="1:35" x14ac:dyDescent="0.3">
      <c r="A123" s="16"/>
      <c r="B123" s="16"/>
      <c r="C123" s="9" t="str">
        <f>IFERROR(INDEX('Employee Master'!$B$10:$B$109,MATCH(B123,'Employee Master'!$A$10:$A$109,0)),"")</f>
        <v/>
      </c>
      <c r="D123" s="9" t="str">
        <f>IFERROR(INDEX('Employee Master'!$H$10:$H$109,MATCH(B123,'Employee Master'!$A$10:$A$109,0)),"")</f>
        <v/>
      </c>
      <c r="E123" s="14">
        <f>IFERROR(INDEX('Employee Master'!$Q$10:$Q$109,MATCH(B123,'Employee Master'!$A$10:$A$109,0)),0)</f>
        <v>0</v>
      </c>
      <c r="F123" s="14">
        <f>IFERROR(INDEX('Employee Master'!$R$10:$R$109,MATCH(B123,'Employee Master'!$A$10:$A$109,0)),0)</f>
        <v>0</v>
      </c>
      <c r="G123" s="16"/>
      <c r="H123" s="16">
        <v>0</v>
      </c>
      <c r="I123" s="14">
        <f t="shared" si="9"/>
        <v>0</v>
      </c>
      <c r="J123" s="14">
        <f>SUMIFS('OT Tracker'!$G$10:$G$209,'OT Tracker'!$B$10:$B$209,B123)</f>
        <v>0</v>
      </c>
      <c r="K123" s="14">
        <v>0</v>
      </c>
      <c r="L123" s="14">
        <f>IFERROR(E123*Lists!$L$13*--(INDEX('Employee Master'!$S$10:$S$109,MATCH(B123,'Employee Master'!$A$10:$A$109,0))="Yes"),0)</f>
        <v>0</v>
      </c>
      <c r="M123" s="14">
        <f>IFERROR(F123*Lists!$L$14*--(INDEX('Employee Master'!$T$10:$T$109,MATCH(B123,'Employee Master'!$A$10:$A$109,0))="Yes"),0)</f>
        <v>0</v>
      </c>
      <c r="N123" s="14">
        <f t="shared" si="10"/>
        <v>0</v>
      </c>
      <c r="O123" s="14">
        <f t="shared" si="11"/>
        <v>0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spans="1:35" x14ac:dyDescent="0.3">
      <c r="A124" s="16"/>
      <c r="B124" s="16"/>
      <c r="C124" s="9" t="str">
        <f>IFERROR(INDEX('Employee Master'!$B$10:$B$109,MATCH(B124,'Employee Master'!$A$10:$A$109,0)),"")</f>
        <v/>
      </c>
      <c r="D124" s="9" t="str">
        <f>IFERROR(INDEX('Employee Master'!$H$10:$H$109,MATCH(B124,'Employee Master'!$A$10:$A$109,0)),"")</f>
        <v/>
      </c>
      <c r="E124" s="14">
        <f>IFERROR(INDEX('Employee Master'!$Q$10:$Q$109,MATCH(B124,'Employee Master'!$A$10:$A$109,0)),0)</f>
        <v>0</v>
      </c>
      <c r="F124" s="14">
        <f>IFERROR(INDEX('Employee Master'!$R$10:$R$109,MATCH(B124,'Employee Master'!$A$10:$A$109,0)),0)</f>
        <v>0</v>
      </c>
      <c r="G124" s="16"/>
      <c r="H124" s="16">
        <v>0</v>
      </c>
      <c r="I124" s="14">
        <f t="shared" si="9"/>
        <v>0</v>
      </c>
      <c r="J124" s="14">
        <f>SUMIFS('OT Tracker'!$G$10:$G$209,'OT Tracker'!$B$10:$B$209,B124)</f>
        <v>0</v>
      </c>
      <c r="K124" s="14">
        <v>0</v>
      </c>
      <c r="L124" s="14">
        <f>IFERROR(E124*Lists!$L$13*--(INDEX('Employee Master'!$S$10:$S$109,MATCH(B124,'Employee Master'!$A$10:$A$109,0))="Yes"),0)</f>
        <v>0</v>
      </c>
      <c r="M124" s="14">
        <f>IFERROR(F124*Lists!$L$14*--(INDEX('Employee Master'!$T$10:$T$109,MATCH(B124,'Employee Master'!$A$10:$A$109,0))="Yes"),0)</f>
        <v>0</v>
      </c>
      <c r="N124" s="14">
        <f t="shared" si="10"/>
        <v>0</v>
      </c>
      <c r="O124" s="14">
        <f t="shared" si="11"/>
        <v>0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spans="1:35" x14ac:dyDescent="0.3">
      <c r="A125" s="16"/>
      <c r="B125" s="16"/>
      <c r="C125" s="9" t="str">
        <f>IFERROR(INDEX('Employee Master'!$B$10:$B$109,MATCH(B125,'Employee Master'!$A$10:$A$109,0)),"")</f>
        <v/>
      </c>
      <c r="D125" s="9" t="str">
        <f>IFERROR(INDEX('Employee Master'!$H$10:$H$109,MATCH(B125,'Employee Master'!$A$10:$A$109,0)),"")</f>
        <v/>
      </c>
      <c r="E125" s="14">
        <f>IFERROR(INDEX('Employee Master'!$Q$10:$Q$109,MATCH(B125,'Employee Master'!$A$10:$A$109,0)),0)</f>
        <v>0</v>
      </c>
      <c r="F125" s="14">
        <f>IFERROR(INDEX('Employee Master'!$R$10:$R$109,MATCH(B125,'Employee Master'!$A$10:$A$109,0)),0)</f>
        <v>0</v>
      </c>
      <c r="G125" s="16"/>
      <c r="H125" s="16">
        <v>0</v>
      </c>
      <c r="I125" s="14">
        <f t="shared" si="9"/>
        <v>0</v>
      </c>
      <c r="J125" s="14">
        <f>SUMIFS('OT Tracker'!$G$10:$G$209,'OT Tracker'!$B$10:$B$209,B125)</f>
        <v>0</v>
      </c>
      <c r="K125" s="14">
        <v>0</v>
      </c>
      <c r="L125" s="14">
        <f>IFERROR(E125*Lists!$L$13*--(INDEX('Employee Master'!$S$10:$S$109,MATCH(B125,'Employee Master'!$A$10:$A$109,0))="Yes"),0)</f>
        <v>0</v>
      </c>
      <c r="M125" s="14">
        <f>IFERROR(F125*Lists!$L$14*--(INDEX('Employee Master'!$T$10:$T$109,MATCH(B125,'Employee Master'!$A$10:$A$109,0))="Yes"),0)</f>
        <v>0</v>
      </c>
      <c r="N125" s="14">
        <f t="shared" si="10"/>
        <v>0</v>
      </c>
      <c r="O125" s="14">
        <f t="shared" si="11"/>
        <v>0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spans="1:35" x14ac:dyDescent="0.3">
      <c r="A126" s="16"/>
      <c r="B126" s="16"/>
      <c r="C126" s="9" t="str">
        <f>IFERROR(INDEX('Employee Master'!$B$10:$B$109,MATCH(B126,'Employee Master'!$A$10:$A$109,0)),"")</f>
        <v/>
      </c>
      <c r="D126" s="9" t="str">
        <f>IFERROR(INDEX('Employee Master'!$H$10:$H$109,MATCH(B126,'Employee Master'!$A$10:$A$109,0)),"")</f>
        <v/>
      </c>
      <c r="E126" s="14">
        <f>IFERROR(INDEX('Employee Master'!$Q$10:$Q$109,MATCH(B126,'Employee Master'!$A$10:$A$109,0)),0)</f>
        <v>0</v>
      </c>
      <c r="F126" s="14">
        <f>IFERROR(INDEX('Employee Master'!$R$10:$R$109,MATCH(B126,'Employee Master'!$A$10:$A$109,0)),0)</f>
        <v>0</v>
      </c>
      <c r="G126" s="16"/>
      <c r="H126" s="16">
        <v>0</v>
      </c>
      <c r="I126" s="14">
        <f t="shared" si="9"/>
        <v>0</v>
      </c>
      <c r="J126" s="14">
        <f>SUMIFS('OT Tracker'!$G$10:$G$209,'OT Tracker'!$B$10:$B$209,B126)</f>
        <v>0</v>
      </c>
      <c r="K126" s="14">
        <v>0</v>
      </c>
      <c r="L126" s="14">
        <f>IFERROR(E126*Lists!$L$13*--(INDEX('Employee Master'!$S$10:$S$109,MATCH(B126,'Employee Master'!$A$10:$A$109,0))="Yes"),0)</f>
        <v>0</v>
      </c>
      <c r="M126" s="14">
        <f>IFERROR(F126*Lists!$L$14*--(INDEX('Employee Master'!$T$10:$T$109,MATCH(B126,'Employee Master'!$A$10:$A$109,0))="Yes"),0)</f>
        <v>0</v>
      </c>
      <c r="N126" s="14">
        <f t="shared" si="10"/>
        <v>0</v>
      </c>
      <c r="O126" s="14">
        <f t="shared" si="11"/>
        <v>0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spans="1:35" x14ac:dyDescent="0.3">
      <c r="A127" s="16"/>
      <c r="B127" s="16"/>
      <c r="C127" s="9" t="str">
        <f>IFERROR(INDEX('Employee Master'!$B$10:$B$109,MATCH(B127,'Employee Master'!$A$10:$A$109,0)),"")</f>
        <v/>
      </c>
      <c r="D127" s="9" t="str">
        <f>IFERROR(INDEX('Employee Master'!$H$10:$H$109,MATCH(B127,'Employee Master'!$A$10:$A$109,0)),"")</f>
        <v/>
      </c>
      <c r="E127" s="14">
        <f>IFERROR(INDEX('Employee Master'!$Q$10:$Q$109,MATCH(B127,'Employee Master'!$A$10:$A$109,0)),0)</f>
        <v>0</v>
      </c>
      <c r="F127" s="14">
        <f>IFERROR(INDEX('Employee Master'!$R$10:$R$109,MATCH(B127,'Employee Master'!$A$10:$A$109,0)),0)</f>
        <v>0</v>
      </c>
      <c r="G127" s="16"/>
      <c r="H127" s="16">
        <v>0</v>
      </c>
      <c r="I127" s="14">
        <f t="shared" si="9"/>
        <v>0</v>
      </c>
      <c r="J127" s="14">
        <f>SUMIFS('OT Tracker'!$G$10:$G$209,'OT Tracker'!$B$10:$B$209,B127)</f>
        <v>0</v>
      </c>
      <c r="K127" s="14">
        <v>0</v>
      </c>
      <c r="L127" s="14">
        <f>IFERROR(E127*Lists!$L$13*--(INDEX('Employee Master'!$S$10:$S$109,MATCH(B127,'Employee Master'!$A$10:$A$109,0))="Yes"),0)</f>
        <v>0</v>
      </c>
      <c r="M127" s="14">
        <f>IFERROR(F127*Lists!$L$14*--(INDEX('Employee Master'!$T$10:$T$109,MATCH(B127,'Employee Master'!$A$10:$A$109,0))="Yes"),0)</f>
        <v>0</v>
      </c>
      <c r="N127" s="14">
        <f t="shared" si="10"/>
        <v>0</v>
      </c>
      <c r="O127" s="14">
        <f t="shared" si="11"/>
        <v>0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spans="1:35" x14ac:dyDescent="0.3">
      <c r="A128" s="16"/>
      <c r="B128" s="16"/>
      <c r="C128" s="9" t="str">
        <f>IFERROR(INDEX('Employee Master'!$B$10:$B$109,MATCH(B128,'Employee Master'!$A$10:$A$109,0)),"")</f>
        <v/>
      </c>
      <c r="D128" s="9" t="str">
        <f>IFERROR(INDEX('Employee Master'!$H$10:$H$109,MATCH(B128,'Employee Master'!$A$10:$A$109,0)),"")</f>
        <v/>
      </c>
      <c r="E128" s="14">
        <f>IFERROR(INDEX('Employee Master'!$Q$10:$Q$109,MATCH(B128,'Employee Master'!$A$10:$A$109,0)),0)</f>
        <v>0</v>
      </c>
      <c r="F128" s="14">
        <f>IFERROR(INDEX('Employee Master'!$R$10:$R$109,MATCH(B128,'Employee Master'!$A$10:$A$109,0)),0)</f>
        <v>0</v>
      </c>
      <c r="G128" s="16"/>
      <c r="H128" s="16">
        <v>0</v>
      </c>
      <c r="I128" s="14">
        <f t="shared" si="9"/>
        <v>0</v>
      </c>
      <c r="J128" s="14">
        <f>SUMIFS('OT Tracker'!$G$10:$G$209,'OT Tracker'!$B$10:$B$209,B128)</f>
        <v>0</v>
      </c>
      <c r="K128" s="14">
        <v>0</v>
      </c>
      <c r="L128" s="14">
        <f>IFERROR(E128*Lists!$L$13*--(INDEX('Employee Master'!$S$10:$S$109,MATCH(B128,'Employee Master'!$A$10:$A$109,0))="Yes"),0)</f>
        <v>0</v>
      </c>
      <c r="M128" s="14">
        <f>IFERROR(F128*Lists!$L$14*--(INDEX('Employee Master'!$T$10:$T$109,MATCH(B128,'Employee Master'!$A$10:$A$109,0))="Yes"),0)</f>
        <v>0</v>
      </c>
      <c r="N128" s="14">
        <f t="shared" si="10"/>
        <v>0</v>
      </c>
      <c r="O128" s="14">
        <f t="shared" si="11"/>
        <v>0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spans="1:35" x14ac:dyDescent="0.3">
      <c r="A129" s="16"/>
      <c r="B129" s="16"/>
      <c r="C129" s="9" t="str">
        <f>IFERROR(INDEX('Employee Master'!$B$10:$B$109,MATCH(B129,'Employee Master'!$A$10:$A$109,0)),"")</f>
        <v/>
      </c>
      <c r="D129" s="9" t="str">
        <f>IFERROR(INDEX('Employee Master'!$H$10:$H$109,MATCH(B129,'Employee Master'!$A$10:$A$109,0)),"")</f>
        <v/>
      </c>
      <c r="E129" s="14">
        <f>IFERROR(INDEX('Employee Master'!$Q$10:$Q$109,MATCH(B129,'Employee Master'!$A$10:$A$109,0)),0)</f>
        <v>0</v>
      </c>
      <c r="F129" s="14">
        <f>IFERROR(INDEX('Employee Master'!$R$10:$R$109,MATCH(B129,'Employee Master'!$A$10:$A$109,0)),0)</f>
        <v>0</v>
      </c>
      <c r="G129" s="16"/>
      <c r="H129" s="16">
        <v>0</v>
      </c>
      <c r="I129" s="14">
        <f t="shared" si="9"/>
        <v>0</v>
      </c>
      <c r="J129" s="14">
        <f>SUMIFS('OT Tracker'!$G$10:$G$209,'OT Tracker'!$B$10:$B$209,B129)</f>
        <v>0</v>
      </c>
      <c r="K129" s="14">
        <v>0</v>
      </c>
      <c r="L129" s="14">
        <f>IFERROR(E129*Lists!$L$13*--(INDEX('Employee Master'!$S$10:$S$109,MATCH(B129,'Employee Master'!$A$10:$A$109,0))="Yes"),0)</f>
        <v>0</v>
      </c>
      <c r="M129" s="14">
        <f>IFERROR(F129*Lists!$L$14*--(INDEX('Employee Master'!$T$10:$T$109,MATCH(B129,'Employee Master'!$A$10:$A$109,0))="Yes"),0)</f>
        <v>0</v>
      </c>
      <c r="N129" s="14">
        <f t="shared" si="10"/>
        <v>0</v>
      </c>
      <c r="O129" s="14">
        <f t="shared" si="11"/>
        <v>0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spans="1:35" x14ac:dyDescent="0.3">
      <c r="A130" s="16"/>
      <c r="B130" s="16"/>
      <c r="C130" s="9" t="str">
        <f>IFERROR(INDEX('Employee Master'!$B$10:$B$109,MATCH(B130,'Employee Master'!$A$10:$A$109,0)),"")</f>
        <v/>
      </c>
      <c r="D130" s="9" t="str">
        <f>IFERROR(INDEX('Employee Master'!$H$10:$H$109,MATCH(B130,'Employee Master'!$A$10:$A$109,0)),"")</f>
        <v/>
      </c>
      <c r="E130" s="14">
        <f>IFERROR(INDEX('Employee Master'!$Q$10:$Q$109,MATCH(B130,'Employee Master'!$A$10:$A$109,0)),0)</f>
        <v>0</v>
      </c>
      <c r="F130" s="14">
        <f>IFERROR(INDEX('Employee Master'!$R$10:$R$109,MATCH(B130,'Employee Master'!$A$10:$A$109,0)),0)</f>
        <v>0</v>
      </c>
      <c r="G130" s="16"/>
      <c r="H130" s="16">
        <v>0</v>
      </c>
      <c r="I130" s="14">
        <f t="shared" si="9"/>
        <v>0</v>
      </c>
      <c r="J130" s="14">
        <f>SUMIFS('OT Tracker'!$G$10:$G$209,'OT Tracker'!$B$10:$B$209,B130)</f>
        <v>0</v>
      </c>
      <c r="K130" s="14">
        <v>0</v>
      </c>
      <c r="L130" s="14">
        <f>IFERROR(E130*Lists!$L$13*--(INDEX('Employee Master'!$S$10:$S$109,MATCH(B130,'Employee Master'!$A$10:$A$109,0))="Yes"),0)</f>
        <v>0</v>
      </c>
      <c r="M130" s="14">
        <f>IFERROR(F130*Lists!$L$14*--(INDEX('Employee Master'!$T$10:$T$109,MATCH(B130,'Employee Master'!$A$10:$A$109,0))="Yes"),0)</f>
        <v>0</v>
      </c>
      <c r="N130" s="14">
        <f t="shared" si="10"/>
        <v>0</v>
      </c>
      <c r="O130" s="14">
        <f t="shared" si="11"/>
        <v>0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spans="1:35" x14ac:dyDescent="0.3">
      <c r="A131" s="16"/>
      <c r="B131" s="16"/>
      <c r="C131" s="9" t="str">
        <f>IFERROR(INDEX('Employee Master'!$B$10:$B$109,MATCH(B131,'Employee Master'!$A$10:$A$109,0)),"")</f>
        <v/>
      </c>
      <c r="D131" s="9" t="str">
        <f>IFERROR(INDEX('Employee Master'!$H$10:$H$109,MATCH(B131,'Employee Master'!$A$10:$A$109,0)),"")</f>
        <v/>
      </c>
      <c r="E131" s="14">
        <f>IFERROR(INDEX('Employee Master'!$Q$10:$Q$109,MATCH(B131,'Employee Master'!$A$10:$A$109,0)),0)</f>
        <v>0</v>
      </c>
      <c r="F131" s="14">
        <f>IFERROR(INDEX('Employee Master'!$R$10:$R$109,MATCH(B131,'Employee Master'!$A$10:$A$109,0)),0)</f>
        <v>0</v>
      </c>
      <c r="G131" s="16"/>
      <c r="H131" s="16">
        <v>0</v>
      </c>
      <c r="I131" s="14">
        <f t="shared" si="9"/>
        <v>0</v>
      </c>
      <c r="J131" s="14">
        <f>SUMIFS('OT Tracker'!$G$10:$G$209,'OT Tracker'!$B$10:$B$209,B131)</f>
        <v>0</v>
      </c>
      <c r="K131" s="14">
        <v>0</v>
      </c>
      <c r="L131" s="14">
        <f>IFERROR(E131*Lists!$L$13*--(INDEX('Employee Master'!$S$10:$S$109,MATCH(B131,'Employee Master'!$A$10:$A$109,0))="Yes"),0)</f>
        <v>0</v>
      </c>
      <c r="M131" s="14">
        <f>IFERROR(F131*Lists!$L$14*--(INDEX('Employee Master'!$T$10:$T$109,MATCH(B131,'Employee Master'!$A$10:$A$109,0))="Yes"),0)</f>
        <v>0</v>
      </c>
      <c r="N131" s="14">
        <f t="shared" si="10"/>
        <v>0</v>
      </c>
      <c r="O131" s="14">
        <f t="shared" si="11"/>
        <v>0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spans="1:35" x14ac:dyDescent="0.3">
      <c r="A132" s="16"/>
      <c r="B132" s="16"/>
      <c r="C132" s="9" t="str">
        <f>IFERROR(INDEX('Employee Master'!$B$10:$B$109,MATCH(B132,'Employee Master'!$A$10:$A$109,0)),"")</f>
        <v/>
      </c>
      <c r="D132" s="9" t="str">
        <f>IFERROR(INDEX('Employee Master'!$H$10:$H$109,MATCH(B132,'Employee Master'!$A$10:$A$109,0)),"")</f>
        <v/>
      </c>
      <c r="E132" s="14">
        <f>IFERROR(INDEX('Employee Master'!$Q$10:$Q$109,MATCH(B132,'Employee Master'!$A$10:$A$109,0)),0)</f>
        <v>0</v>
      </c>
      <c r="F132" s="14">
        <f>IFERROR(INDEX('Employee Master'!$R$10:$R$109,MATCH(B132,'Employee Master'!$A$10:$A$109,0)),0)</f>
        <v>0</v>
      </c>
      <c r="G132" s="16"/>
      <c r="H132" s="16">
        <v>0</v>
      </c>
      <c r="I132" s="14">
        <f t="shared" si="9"/>
        <v>0</v>
      </c>
      <c r="J132" s="14">
        <f>SUMIFS('OT Tracker'!$G$10:$G$209,'OT Tracker'!$B$10:$B$209,B132)</f>
        <v>0</v>
      </c>
      <c r="K132" s="14">
        <v>0</v>
      </c>
      <c r="L132" s="14">
        <f>IFERROR(E132*Lists!$L$13*--(INDEX('Employee Master'!$S$10:$S$109,MATCH(B132,'Employee Master'!$A$10:$A$109,0))="Yes"),0)</f>
        <v>0</v>
      </c>
      <c r="M132" s="14">
        <f>IFERROR(F132*Lists!$L$14*--(INDEX('Employee Master'!$T$10:$T$109,MATCH(B132,'Employee Master'!$A$10:$A$109,0))="Yes"),0)</f>
        <v>0</v>
      </c>
      <c r="N132" s="14">
        <f t="shared" si="10"/>
        <v>0</v>
      </c>
      <c r="O132" s="14">
        <f t="shared" si="11"/>
        <v>0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spans="1:35" x14ac:dyDescent="0.3">
      <c r="A133" s="16"/>
      <c r="B133" s="16"/>
      <c r="C133" s="9" t="str">
        <f>IFERROR(INDEX('Employee Master'!$B$10:$B$109,MATCH(B133,'Employee Master'!$A$10:$A$109,0)),"")</f>
        <v/>
      </c>
      <c r="D133" s="9" t="str">
        <f>IFERROR(INDEX('Employee Master'!$H$10:$H$109,MATCH(B133,'Employee Master'!$A$10:$A$109,0)),"")</f>
        <v/>
      </c>
      <c r="E133" s="14">
        <f>IFERROR(INDEX('Employee Master'!$Q$10:$Q$109,MATCH(B133,'Employee Master'!$A$10:$A$109,0)),0)</f>
        <v>0</v>
      </c>
      <c r="F133" s="14">
        <f>IFERROR(INDEX('Employee Master'!$R$10:$R$109,MATCH(B133,'Employee Master'!$A$10:$A$109,0)),0)</f>
        <v>0</v>
      </c>
      <c r="G133" s="16"/>
      <c r="H133" s="16">
        <v>0</v>
      </c>
      <c r="I133" s="14">
        <f t="shared" si="9"/>
        <v>0</v>
      </c>
      <c r="J133" s="14">
        <f>SUMIFS('OT Tracker'!$G$10:$G$209,'OT Tracker'!$B$10:$B$209,B133)</f>
        <v>0</v>
      </c>
      <c r="K133" s="14">
        <v>0</v>
      </c>
      <c r="L133" s="14">
        <f>IFERROR(E133*Lists!$L$13*--(INDEX('Employee Master'!$S$10:$S$109,MATCH(B133,'Employee Master'!$A$10:$A$109,0))="Yes"),0)</f>
        <v>0</v>
      </c>
      <c r="M133" s="14">
        <f>IFERROR(F133*Lists!$L$14*--(INDEX('Employee Master'!$T$10:$T$109,MATCH(B133,'Employee Master'!$A$10:$A$109,0))="Yes"),0)</f>
        <v>0</v>
      </c>
      <c r="N133" s="14">
        <f t="shared" si="10"/>
        <v>0</v>
      </c>
      <c r="O133" s="14">
        <f t="shared" si="11"/>
        <v>0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spans="1:35" x14ac:dyDescent="0.3">
      <c r="A134" s="16"/>
      <c r="B134" s="16"/>
      <c r="C134" s="9" t="str">
        <f>IFERROR(INDEX('Employee Master'!$B$10:$B$109,MATCH(B134,'Employee Master'!$A$10:$A$109,0)),"")</f>
        <v/>
      </c>
      <c r="D134" s="9" t="str">
        <f>IFERROR(INDEX('Employee Master'!$H$10:$H$109,MATCH(B134,'Employee Master'!$A$10:$A$109,0)),"")</f>
        <v/>
      </c>
      <c r="E134" s="14">
        <f>IFERROR(INDEX('Employee Master'!$Q$10:$Q$109,MATCH(B134,'Employee Master'!$A$10:$A$109,0)),0)</f>
        <v>0</v>
      </c>
      <c r="F134" s="14">
        <f>IFERROR(INDEX('Employee Master'!$R$10:$R$109,MATCH(B134,'Employee Master'!$A$10:$A$109,0)),0)</f>
        <v>0</v>
      </c>
      <c r="G134" s="16"/>
      <c r="H134" s="16">
        <v>0</v>
      </c>
      <c r="I134" s="14">
        <f t="shared" si="9"/>
        <v>0</v>
      </c>
      <c r="J134" s="14">
        <f>SUMIFS('OT Tracker'!$G$10:$G$209,'OT Tracker'!$B$10:$B$209,B134)</f>
        <v>0</v>
      </c>
      <c r="K134" s="14">
        <v>0</v>
      </c>
      <c r="L134" s="14">
        <f>IFERROR(E134*Lists!$L$13*--(INDEX('Employee Master'!$S$10:$S$109,MATCH(B134,'Employee Master'!$A$10:$A$109,0))="Yes"),0)</f>
        <v>0</v>
      </c>
      <c r="M134" s="14">
        <f>IFERROR(F134*Lists!$L$14*--(INDEX('Employee Master'!$T$10:$T$109,MATCH(B134,'Employee Master'!$A$10:$A$109,0))="Yes"),0)</f>
        <v>0</v>
      </c>
      <c r="N134" s="14">
        <f t="shared" si="10"/>
        <v>0</v>
      </c>
      <c r="O134" s="14">
        <f t="shared" si="11"/>
        <v>0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spans="1:35" x14ac:dyDescent="0.3">
      <c r="A135" s="16"/>
      <c r="B135" s="16"/>
      <c r="C135" s="9" t="str">
        <f>IFERROR(INDEX('Employee Master'!$B$10:$B$109,MATCH(B135,'Employee Master'!$A$10:$A$109,0)),"")</f>
        <v/>
      </c>
      <c r="D135" s="9" t="str">
        <f>IFERROR(INDEX('Employee Master'!$H$10:$H$109,MATCH(B135,'Employee Master'!$A$10:$A$109,0)),"")</f>
        <v/>
      </c>
      <c r="E135" s="14">
        <f>IFERROR(INDEX('Employee Master'!$Q$10:$Q$109,MATCH(B135,'Employee Master'!$A$10:$A$109,0)),0)</f>
        <v>0</v>
      </c>
      <c r="F135" s="14">
        <f>IFERROR(INDEX('Employee Master'!$R$10:$R$109,MATCH(B135,'Employee Master'!$A$10:$A$109,0)),0)</f>
        <v>0</v>
      </c>
      <c r="G135" s="16"/>
      <c r="H135" s="16">
        <v>0</v>
      </c>
      <c r="I135" s="14">
        <f t="shared" si="9"/>
        <v>0</v>
      </c>
      <c r="J135" s="14">
        <f>SUMIFS('OT Tracker'!$G$10:$G$209,'OT Tracker'!$B$10:$B$209,B135)</f>
        <v>0</v>
      </c>
      <c r="K135" s="14">
        <v>0</v>
      </c>
      <c r="L135" s="14">
        <f>IFERROR(E135*Lists!$L$13*--(INDEX('Employee Master'!$S$10:$S$109,MATCH(B135,'Employee Master'!$A$10:$A$109,0))="Yes"),0)</f>
        <v>0</v>
      </c>
      <c r="M135" s="14">
        <f>IFERROR(F135*Lists!$L$14*--(INDEX('Employee Master'!$T$10:$T$109,MATCH(B135,'Employee Master'!$A$10:$A$109,0))="Yes"),0)</f>
        <v>0</v>
      </c>
      <c r="N135" s="14">
        <f t="shared" si="10"/>
        <v>0</v>
      </c>
      <c r="O135" s="14">
        <f t="shared" si="11"/>
        <v>0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spans="1:35" x14ac:dyDescent="0.3">
      <c r="A136" s="16"/>
      <c r="B136" s="16"/>
      <c r="C136" s="9" t="str">
        <f>IFERROR(INDEX('Employee Master'!$B$10:$B$109,MATCH(B136,'Employee Master'!$A$10:$A$109,0)),"")</f>
        <v/>
      </c>
      <c r="D136" s="9" t="str">
        <f>IFERROR(INDEX('Employee Master'!$H$10:$H$109,MATCH(B136,'Employee Master'!$A$10:$A$109,0)),"")</f>
        <v/>
      </c>
      <c r="E136" s="14">
        <f>IFERROR(INDEX('Employee Master'!$Q$10:$Q$109,MATCH(B136,'Employee Master'!$A$10:$A$109,0)),0)</f>
        <v>0</v>
      </c>
      <c r="F136" s="14">
        <f>IFERROR(INDEX('Employee Master'!$R$10:$R$109,MATCH(B136,'Employee Master'!$A$10:$A$109,0)),0)</f>
        <v>0</v>
      </c>
      <c r="G136" s="16"/>
      <c r="H136" s="16">
        <v>0</v>
      </c>
      <c r="I136" s="14">
        <f t="shared" si="9"/>
        <v>0</v>
      </c>
      <c r="J136" s="14">
        <f>SUMIFS('OT Tracker'!$G$10:$G$209,'OT Tracker'!$B$10:$B$209,B136)</f>
        <v>0</v>
      </c>
      <c r="K136" s="14">
        <v>0</v>
      </c>
      <c r="L136" s="14">
        <f>IFERROR(E136*Lists!$L$13*--(INDEX('Employee Master'!$S$10:$S$109,MATCH(B136,'Employee Master'!$A$10:$A$109,0))="Yes"),0)</f>
        <v>0</v>
      </c>
      <c r="M136" s="14">
        <f>IFERROR(F136*Lists!$L$14*--(INDEX('Employee Master'!$T$10:$T$109,MATCH(B136,'Employee Master'!$A$10:$A$109,0))="Yes"),0)</f>
        <v>0</v>
      </c>
      <c r="N136" s="14">
        <f t="shared" si="10"/>
        <v>0</v>
      </c>
      <c r="O136" s="14">
        <f t="shared" si="11"/>
        <v>0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spans="1:35" x14ac:dyDescent="0.3">
      <c r="A137" s="16"/>
      <c r="B137" s="16"/>
      <c r="C137" s="9" t="str">
        <f>IFERROR(INDEX('Employee Master'!$B$10:$B$109,MATCH(B137,'Employee Master'!$A$10:$A$109,0)),"")</f>
        <v/>
      </c>
      <c r="D137" s="9" t="str">
        <f>IFERROR(INDEX('Employee Master'!$H$10:$H$109,MATCH(B137,'Employee Master'!$A$10:$A$109,0)),"")</f>
        <v/>
      </c>
      <c r="E137" s="14">
        <f>IFERROR(INDEX('Employee Master'!$Q$10:$Q$109,MATCH(B137,'Employee Master'!$A$10:$A$109,0)),0)</f>
        <v>0</v>
      </c>
      <c r="F137" s="14">
        <f>IFERROR(INDEX('Employee Master'!$R$10:$R$109,MATCH(B137,'Employee Master'!$A$10:$A$109,0)),0)</f>
        <v>0</v>
      </c>
      <c r="G137" s="16"/>
      <c r="H137" s="16">
        <v>0</v>
      </c>
      <c r="I137" s="14">
        <f t="shared" si="9"/>
        <v>0</v>
      </c>
      <c r="J137" s="14">
        <f>SUMIFS('OT Tracker'!$G$10:$G$209,'OT Tracker'!$B$10:$B$209,B137)</f>
        <v>0</v>
      </c>
      <c r="K137" s="14">
        <v>0</v>
      </c>
      <c r="L137" s="14">
        <f>IFERROR(E137*Lists!$L$13*--(INDEX('Employee Master'!$S$10:$S$109,MATCH(B137,'Employee Master'!$A$10:$A$109,0))="Yes"),0)</f>
        <v>0</v>
      </c>
      <c r="M137" s="14">
        <f>IFERROR(F137*Lists!$L$14*--(INDEX('Employee Master'!$T$10:$T$109,MATCH(B137,'Employee Master'!$A$10:$A$109,0))="Yes"),0)</f>
        <v>0</v>
      </c>
      <c r="N137" s="14">
        <f t="shared" si="10"/>
        <v>0</v>
      </c>
      <c r="O137" s="14">
        <f t="shared" si="11"/>
        <v>0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spans="1:35" x14ac:dyDescent="0.3">
      <c r="A138" s="16"/>
      <c r="B138" s="16"/>
      <c r="C138" s="9" t="str">
        <f>IFERROR(INDEX('Employee Master'!$B$10:$B$109,MATCH(B138,'Employee Master'!$A$10:$A$109,0)),"")</f>
        <v/>
      </c>
      <c r="D138" s="9" t="str">
        <f>IFERROR(INDEX('Employee Master'!$H$10:$H$109,MATCH(B138,'Employee Master'!$A$10:$A$109,0)),"")</f>
        <v/>
      </c>
      <c r="E138" s="14">
        <f>IFERROR(INDEX('Employee Master'!$Q$10:$Q$109,MATCH(B138,'Employee Master'!$A$10:$A$109,0)),0)</f>
        <v>0</v>
      </c>
      <c r="F138" s="14">
        <f>IFERROR(INDEX('Employee Master'!$R$10:$R$109,MATCH(B138,'Employee Master'!$A$10:$A$109,0)),0)</f>
        <v>0</v>
      </c>
      <c r="G138" s="16"/>
      <c r="H138" s="16">
        <v>0</v>
      </c>
      <c r="I138" s="14">
        <f t="shared" ref="I138:I169" si="12">IFERROR(F138/30*H138,0)</f>
        <v>0</v>
      </c>
      <c r="J138" s="14">
        <f>SUMIFS('OT Tracker'!$G$10:$G$209,'OT Tracker'!$B$10:$B$209,B138)</f>
        <v>0</v>
      </c>
      <c r="K138" s="14">
        <v>0</v>
      </c>
      <c r="L138" s="14">
        <f>IFERROR(E138*Lists!$L$13*--(INDEX('Employee Master'!$S$10:$S$109,MATCH(B138,'Employee Master'!$A$10:$A$109,0))="Yes"),0)</f>
        <v>0</v>
      </c>
      <c r="M138" s="14">
        <f>IFERROR(F138*Lists!$L$14*--(INDEX('Employee Master'!$T$10:$T$109,MATCH(B138,'Employee Master'!$A$10:$A$109,0))="Yes"),0)</f>
        <v>0</v>
      </c>
      <c r="N138" s="14">
        <f t="shared" ref="N138:N169" si="13">I138+K138+L138+M138</f>
        <v>0</v>
      </c>
      <c r="O138" s="14">
        <f t="shared" ref="O138:O169" si="14">F138+J138-N138</f>
        <v>0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spans="1:35" x14ac:dyDescent="0.3">
      <c r="A139" s="16"/>
      <c r="B139" s="16"/>
      <c r="C139" s="9" t="str">
        <f>IFERROR(INDEX('Employee Master'!$B$10:$B$109,MATCH(B139,'Employee Master'!$A$10:$A$109,0)),"")</f>
        <v/>
      </c>
      <c r="D139" s="9" t="str">
        <f>IFERROR(INDEX('Employee Master'!$H$10:$H$109,MATCH(B139,'Employee Master'!$A$10:$A$109,0)),"")</f>
        <v/>
      </c>
      <c r="E139" s="14">
        <f>IFERROR(INDEX('Employee Master'!$Q$10:$Q$109,MATCH(B139,'Employee Master'!$A$10:$A$109,0)),0)</f>
        <v>0</v>
      </c>
      <c r="F139" s="14">
        <f>IFERROR(INDEX('Employee Master'!$R$10:$R$109,MATCH(B139,'Employee Master'!$A$10:$A$109,0)),0)</f>
        <v>0</v>
      </c>
      <c r="G139" s="16"/>
      <c r="H139" s="16">
        <v>0</v>
      </c>
      <c r="I139" s="14">
        <f t="shared" si="12"/>
        <v>0</v>
      </c>
      <c r="J139" s="14">
        <f>SUMIFS('OT Tracker'!$G$10:$G$209,'OT Tracker'!$B$10:$B$209,B139)</f>
        <v>0</v>
      </c>
      <c r="K139" s="14">
        <v>0</v>
      </c>
      <c r="L139" s="14">
        <f>IFERROR(E139*Lists!$L$13*--(INDEX('Employee Master'!$S$10:$S$109,MATCH(B139,'Employee Master'!$A$10:$A$109,0))="Yes"),0)</f>
        <v>0</v>
      </c>
      <c r="M139" s="14">
        <f>IFERROR(F139*Lists!$L$14*--(INDEX('Employee Master'!$T$10:$T$109,MATCH(B139,'Employee Master'!$A$10:$A$109,0))="Yes"),0)</f>
        <v>0</v>
      </c>
      <c r="N139" s="14">
        <f t="shared" si="13"/>
        <v>0</v>
      </c>
      <c r="O139" s="14">
        <f t="shared" si="14"/>
        <v>0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spans="1:35" x14ac:dyDescent="0.3">
      <c r="A140" s="16"/>
      <c r="B140" s="16"/>
      <c r="C140" s="9" t="str">
        <f>IFERROR(INDEX('Employee Master'!$B$10:$B$109,MATCH(B140,'Employee Master'!$A$10:$A$109,0)),"")</f>
        <v/>
      </c>
      <c r="D140" s="9" t="str">
        <f>IFERROR(INDEX('Employee Master'!$H$10:$H$109,MATCH(B140,'Employee Master'!$A$10:$A$109,0)),"")</f>
        <v/>
      </c>
      <c r="E140" s="14">
        <f>IFERROR(INDEX('Employee Master'!$Q$10:$Q$109,MATCH(B140,'Employee Master'!$A$10:$A$109,0)),0)</f>
        <v>0</v>
      </c>
      <c r="F140" s="14">
        <f>IFERROR(INDEX('Employee Master'!$R$10:$R$109,MATCH(B140,'Employee Master'!$A$10:$A$109,0)),0)</f>
        <v>0</v>
      </c>
      <c r="G140" s="16"/>
      <c r="H140" s="16">
        <v>0</v>
      </c>
      <c r="I140" s="14">
        <f t="shared" si="12"/>
        <v>0</v>
      </c>
      <c r="J140" s="14">
        <f>SUMIFS('OT Tracker'!$G$10:$G$209,'OT Tracker'!$B$10:$B$209,B140)</f>
        <v>0</v>
      </c>
      <c r="K140" s="14">
        <v>0</v>
      </c>
      <c r="L140" s="14">
        <f>IFERROR(E140*Lists!$L$13*--(INDEX('Employee Master'!$S$10:$S$109,MATCH(B140,'Employee Master'!$A$10:$A$109,0))="Yes"),0)</f>
        <v>0</v>
      </c>
      <c r="M140" s="14">
        <f>IFERROR(F140*Lists!$L$14*--(INDEX('Employee Master'!$T$10:$T$109,MATCH(B140,'Employee Master'!$A$10:$A$109,0))="Yes"),0)</f>
        <v>0</v>
      </c>
      <c r="N140" s="14">
        <f t="shared" si="13"/>
        <v>0</v>
      </c>
      <c r="O140" s="14">
        <f t="shared" si="14"/>
        <v>0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spans="1:35" x14ac:dyDescent="0.3">
      <c r="A141" s="16"/>
      <c r="B141" s="16"/>
      <c r="C141" s="9" t="str">
        <f>IFERROR(INDEX('Employee Master'!$B$10:$B$109,MATCH(B141,'Employee Master'!$A$10:$A$109,0)),"")</f>
        <v/>
      </c>
      <c r="D141" s="9" t="str">
        <f>IFERROR(INDEX('Employee Master'!$H$10:$H$109,MATCH(B141,'Employee Master'!$A$10:$A$109,0)),"")</f>
        <v/>
      </c>
      <c r="E141" s="14">
        <f>IFERROR(INDEX('Employee Master'!$Q$10:$Q$109,MATCH(B141,'Employee Master'!$A$10:$A$109,0)),0)</f>
        <v>0</v>
      </c>
      <c r="F141" s="14">
        <f>IFERROR(INDEX('Employee Master'!$R$10:$R$109,MATCH(B141,'Employee Master'!$A$10:$A$109,0)),0)</f>
        <v>0</v>
      </c>
      <c r="G141" s="16"/>
      <c r="H141" s="16">
        <v>0</v>
      </c>
      <c r="I141" s="14">
        <f t="shared" si="12"/>
        <v>0</v>
      </c>
      <c r="J141" s="14">
        <f>SUMIFS('OT Tracker'!$G$10:$G$209,'OT Tracker'!$B$10:$B$209,B141)</f>
        <v>0</v>
      </c>
      <c r="K141" s="14">
        <v>0</v>
      </c>
      <c r="L141" s="14">
        <f>IFERROR(E141*Lists!$L$13*--(INDEX('Employee Master'!$S$10:$S$109,MATCH(B141,'Employee Master'!$A$10:$A$109,0))="Yes"),0)</f>
        <v>0</v>
      </c>
      <c r="M141" s="14">
        <f>IFERROR(F141*Lists!$L$14*--(INDEX('Employee Master'!$T$10:$T$109,MATCH(B141,'Employee Master'!$A$10:$A$109,0))="Yes"),0)</f>
        <v>0</v>
      </c>
      <c r="N141" s="14">
        <f t="shared" si="13"/>
        <v>0</v>
      </c>
      <c r="O141" s="14">
        <f t="shared" si="14"/>
        <v>0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spans="1:35" x14ac:dyDescent="0.3">
      <c r="A142" s="16"/>
      <c r="B142" s="16"/>
      <c r="C142" s="9" t="str">
        <f>IFERROR(INDEX('Employee Master'!$B$10:$B$109,MATCH(B142,'Employee Master'!$A$10:$A$109,0)),"")</f>
        <v/>
      </c>
      <c r="D142" s="9" t="str">
        <f>IFERROR(INDEX('Employee Master'!$H$10:$H$109,MATCH(B142,'Employee Master'!$A$10:$A$109,0)),"")</f>
        <v/>
      </c>
      <c r="E142" s="14">
        <f>IFERROR(INDEX('Employee Master'!$Q$10:$Q$109,MATCH(B142,'Employee Master'!$A$10:$A$109,0)),0)</f>
        <v>0</v>
      </c>
      <c r="F142" s="14">
        <f>IFERROR(INDEX('Employee Master'!$R$10:$R$109,MATCH(B142,'Employee Master'!$A$10:$A$109,0)),0)</f>
        <v>0</v>
      </c>
      <c r="G142" s="16"/>
      <c r="H142" s="16">
        <v>0</v>
      </c>
      <c r="I142" s="14">
        <f t="shared" si="12"/>
        <v>0</v>
      </c>
      <c r="J142" s="14">
        <f>SUMIFS('OT Tracker'!$G$10:$G$209,'OT Tracker'!$B$10:$B$209,B142)</f>
        <v>0</v>
      </c>
      <c r="K142" s="14">
        <v>0</v>
      </c>
      <c r="L142" s="14">
        <f>IFERROR(E142*Lists!$L$13*--(INDEX('Employee Master'!$S$10:$S$109,MATCH(B142,'Employee Master'!$A$10:$A$109,0))="Yes"),0)</f>
        <v>0</v>
      </c>
      <c r="M142" s="14">
        <f>IFERROR(F142*Lists!$L$14*--(INDEX('Employee Master'!$T$10:$T$109,MATCH(B142,'Employee Master'!$A$10:$A$109,0))="Yes"),0)</f>
        <v>0</v>
      </c>
      <c r="N142" s="14">
        <f t="shared" si="13"/>
        <v>0</v>
      </c>
      <c r="O142" s="14">
        <f t="shared" si="14"/>
        <v>0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spans="1:35" x14ac:dyDescent="0.3">
      <c r="A143" s="16"/>
      <c r="B143" s="16"/>
      <c r="C143" s="9" t="str">
        <f>IFERROR(INDEX('Employee Master'!$B$10:$B$109,MATCH(B143,'Employee Master'!$A$10:$A$109,0)),"")</f>
        <v/>
      </c>
      <c r="D143" s="9" t="str">
        <f>IFERROR(INDEX('Employee Master'!$H$10:$H$109,MATCH(B143,'Employee Master'!$A$10:$A$109,0)),"")</f>
        <v/>
      </c>
      <c r="E143" s="14">
        <f>IFERROR(INDEX('Employee Master'!$Q$10:$Q$109,MATCH(B143,'Employee Master'!$A$10:$A$109,0)),0)</f>
        <v>0</v>
      </c>
      <c r="F143" s="14">
        <f>IFERROR(INDEX('Employee Master'!$R$10:$R$109,MATCH(B143,'Employee Master'!$A$10:$A$109,0)),0)</f>
        <v>0</v>
      </c>
      <c r="G143" s="16"/>
      <c r="H143" s="16">
        <v>0</v>
      </c>
      <c r="I143" s="14">
        <f t="shared" si="12"/>
        <v>0</v>
      </c>
      <c r="J143" s="14">
        <f>SUMIFS('OT Tracker'!$G$10:$G$209,'OT Tracker'!$B$10:$B$209,B143)</f>
        <v>0</v>
      </c>
      <c r="K143" s="14">
        <v>0</v>
      </c>
      <c r="L143" s="14">
        <f>IFERROR(E143*Lists!$L$13*--(INDEX('Employee Master'!$S$10:$S$109,MATCH(B143,'Employee Master'!$A$10:$A$109,0))="Yes"),0)</f>
        <v>0</v>
      </c>
      <c r="M143" s="14">
        <f>IFERROR(F143*Lists!$L$14*--(INDEX('Employee Master'!$T$10:$T$109,MATCH(B143,'Employee Master'!$A$10:$A$109,0))="Yes"),0)</f>
        <v>0</v>
      </c>
      <c r="N143" s="14">
        <f t="shared" si="13"/>
        <v>0</v>
      </c>
      <c r="O143" s="14">
        <f t="shared" si="14"/>
        <v>0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spans="1:35" x14ac:dyDescent="0.3">
      <c r="A144" s="16"/>
      <c r="B144" s="16"/>
      <c r="C144" s="9" t="str">
        <f>IFERROR(INDEX('Employee Master'!$B$10:$B$109,MATCH(B144,'Employee Master'!$A$10:$A$109,0)),"")</f>
        <v/>
      </c>
      <c r="D144" s="9" t="str">
        <f>IFERROR(INDEX('Employee Master'!$H$10:$H$109,MATCH(B144,'Employee Master'!$A$10:$A$109,0)),"")</f>
        <v/>
      </c>
      <c r="E144" s="14">
        <f>IFERROR(INDEX('Employee Master'!$Q$10:$Q$109,MATCH(B144,'Employee Master'!$A$10:$A$109,0)),0)</f>
        <v>0</v>
      </c>
      <c r="F144" s="14">
        <f>IFERROR(INDEX('Employee Master'!$R$10:$R$109,MATCH(B144,'Employee Master'!$A$10:$A$109,0)),0)</f>
        <v>0</v>
      </c>
      <c r="G144" s="16"/>
      <c r="H144" s="16">
        <v>0</v>
      </c>
      <c r="I144" s="14">
        <f t="shared" si="12"/>
        <v>0</v>
      </c>
      <c r="J144" s="14">
        <f>SUMIFS('OT Tracker'!$G$10:$G$209,'OT Tracker'!$B$10:$B$209,B144)</f>
        <v>0</v>
      </c>
      <c r="K144" s="14">
        <v>0</v>
      </c>
      <c r="L144" s="14">
        <f>IFERROR(E144*Lists!$L$13*--(INDEX('Employee Master'!$S$10:$S$109,MATCH(B144,'Employee Master'!$A$10:$A$109,0))="Yes"),0)</f>
        <v>0</v>
      </c>
      <c r="M144" s="14">
        <f>IFERROR(F144*Lists!$L$14*--(INDEX('Employee Master'!$T$10:$T$109,MATCH(B144,'Employee Master'!$A$10:$A$109,0))="Yes"),0)</f>
        <v>0</v>
      </c>
      <c r="N144" s="14">
        <f t="shared" si="13"/>
        <v>0</v>
      </c>
      <c r="O144" s="14">
        <f t="shared" si="14"/>
        <v>0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spans="1:35" x14ac:dyDescent="0.3">
      <c r="A145" s="16"/>
      <c r="B145" s="16"/>
      <c r="C145" s="9" t="str">
        <f>IFERROR(INDEX('Employee Master'!$B$10:$B$109,MATCH(B145,'Employee Master'!$A$10:$A$109,0)),"")</f>
        <v/>
      </c>
      <c r="D145" s="9" t="str">
        <f>IFERROR(INDEX('Employee Master'!$H$10:$H$109,MATCH(B145,'Employee Master'!$A$10:$A$109,0)),"")</f>
        <v/>
      </c>
      <c r="E145" s="14">
        <f>IFERROR(INDEX('Employee Master'!$Q$10:$Q$109,MATCH(B145,'Employee Master'!$A$10:$A$109,0)),0)</f>
        <v>0</v>
      </c>
      <c r="F145" s="14">
        <f>IFERROR(INDEX('Employee Master'!$R$10:$R$109,MATCH(B145,'Employee Master'!$A$10:$A$109,0)),0)</f>
        <v>0</v>
      </c>
      <c r="G145" s="16"/>
      <c r="H145" s="16">
        <v>0</v>
      </c>
      <c r="I145" s="14">
        <f t="shared" si="12"/>
        <v>0</v>
      </c>
      <c r="J145" s="14">
        <f>SUMIFS('OT Tracker'!$G$10:$G$209,'OT Tracker'!$B$10:$B$209,B145)</f>
        <v>0</v>
      </c>
      <c r="K145" s="14">
        <v>0</v>
      </c>
      <c r="L145" s="14">
        <f>IFERROR(E145*Lists!$L$13*--(INDEX('Employee Master'!$S$10:$S$109,MATCH(B145,'Employee Master'!$A$10:$A$109,0))="Yes"),0)</f>
        <v>0</v>
      </c>
      <c r="M145" s="14">
        <f>IFERROR(F145*Lists!$L$14*--(INDEX('Employee Master'!$T$10:$T$109,MATCH(B145,'Employee Master'!$A$10:$A$109,0))="Yes"),0)</f>
        <v>0</v>
      </c>
      <c r="N145" s="14">
        <f t="shared" si="13"/>
        <v>0</v>
      </c>
      <c r="O145" s="14">
        <f t="shared" si="14"/>
        <v>0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spans="1:35" x14ac:dyDescent="0.3">
      <c r="A146" s="16"/>
      <c r="B146" s="16"/>
      <c r="C146" s="9" t="str">
        <f>IFERROR(INDEX('Employee Master'!$B$10:$B$109,MATCH(B146,'Employee Master'!$A$10:$A$109,0)),"")</f>
        <v/>
      </c>
      <c r="D146" s="9" t="str">
        <f>IFERROR(INDEX('Employee Master'!$H$10:$H$109,MATCH(B146,'Employee Master'!$A$10:$A$109,0)),"")</f>
        <v/>
      </c>
      <c r="E146" s="14">
        <f>IFERROR(INDEX('Employee Master'!$Q$10:$Q$109,MATCH(B146,'Employee Master'!$A$10:$A$109,0)),0)</f>
        <v>0</v>
      </c>
      <c r="F146" s="14">
        <f>IFERROR(INDEX('Employee Master'!$R$10:$R$109,MATCH(B146,'Employee Master'!$A$10:$A$109,0)),0)</f>
        <v>0</v>
      </c>
      <c r="G146" s="16"/>
      <c r="H146" s="16">
        <v>0</v>
      </c>
      <c r="I146" s="14">
        <f t="shared" si="12"/>
        <v>0</v>
      </c>
      <c r="J146" s="14">
        <f>SUMIFS('OT Tracker'!$G$10:$G$209,'OT Tracker'!$B$10:$B$209,B146)</f>
        <v>0</v>
      </c>
      <c r="K146" s="14">
        <v>0</v>
      </c>
      <c r="L146" s="14">
        <f>IFERROR(E146*Lists!$L$13*--(INDEX('Employee Master'!$S$10:$S$109,MATCH(B146,'Employee Master'!$A$10:$A$109,0))="Yes"),0)</f>
        <v>0</v>
      </c>
      <c r="M146" s="14">
        <f>IFERROR(F146*Lists!$L$14*--(INDEX('Employee Master'!$T$10:$T$109,MATCH(B146,'Employee Master'!$A$10:$A$109,0))="Yes"),0)</f>
        <v>0</v>
      </c>
      <c r="N146" s="14">
        <f t="shared" si="13"/>
        <v>0</v>
      </c>
      <c r="O146" s="14">
        <f t="shared" si="14"/>
        <v>0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spans="1:35" x14ac:dyDescent="0.3">
      <c r="A147" s="16"/>
      <c r="B147" s="16"/>
      <c r="C147" s="9" t="str">
        <f>IFERROR(INDEX('Employee Master'!$B$10:$B$109,MATCH(B147,'Employee Master'!$A$10:$A$109,0)),"")</f>
        <v/>
      </c>
      <c r="D147" s="9" t="str">
        <f>IFERROR(INDEX('Employee Master'!$H$10:$H$109,MATCH(B147,'Employee Master'!$A$10:$A$109,0)),"")</f>
        <v/>
      </c>
      <c r="E147" s="14">
        <f>IFERROR(INDEX('Employee Master'!$Q$10:$Q$109,MATCH(B147,'Employee Master'!$A$10:$A$109,0)),0)</f>
        <v>0</v>
      </c>
      <c r="F147" s="14">
        <f>IFERROR(INDEX('Employee Master'!$R$10:$R$109,MATCH(B147,'Employee Master'!$A$10:$A$109,0)),0)</f>
        <v>0</v>
      </c>
      <c r="G147" s="16"/>
      <c r="H147" s="16">
        <v>0</v>
      </c>
      <c r="I147" s="14">
        <f t="shared" si="12"/>
        <v>0</v>
      </c>
      <c r="J147" s="14">
        <f>SUMIFS('OT Tracker'!$G$10:$G$209,'OT Tracker'!$B$10:$B$209,B147)</f>
        <v>0</v>
      </c>
      <c r="K147" s="14">
        <v>0</v>
      </c>
      <c r="L147" s="14">
        <f>IFERROR(E147*Lists!$L$13*--(INDEX('Employee Master'!$S$10:$S$109,MATCH(B147,'Employee Master'!$A$10:$A$109,0))="Yes"),0)</f>
        <v>0</v>
      </c>
      <c r="M147" s="14">
        <f>IFERROR(F147*Lists!$L$14*--(INDEX('Employee Master'!$T$10:$T$109,MATCH(B147,'Employee Master'!$A$10:$A$109,0))="Yes"),0)</f>
        <v>0</v>
      </c>
      <c r="N147" s="14">
        <f t="shared" si="13"/>
        <v>0</v>
      </c>
      <c r="O147" s="14">
        <f t="shared" si="14"/>
        <v>0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spans="1:35" x14ac:dyDescent="0.3">
      <c r="A148" s="16"/>
      <c r="B148" s="16"/>
      <c r="C148" s="9" t="str">
        <f>IFERROR(INDEX('Employee Master'!$B$10:$B$109,MATCH(B148,'Employee Master'!$A$10:$A$109,0)),"")</f>
        <v/>
      </c>
      <c r="D148" s="9" t="str">
        <f>IFERROR(INDEX('Employee Master'!$H$10:$H$109,MATCH(B148,'Employee Master'!$A$10:$A$109,0)),"")</f>
        <v/>
      </c>
      <c r="E148" s="14">
        <f>IFERROR(INDEX('Employee Master'!$Q$10:$Q$109,MATCH(B148,'Employee Master'!$A$10:$A$109,0)),0)</f>
        <v>0</v>
      </c>
      <c r="F148" s="14">
        <f>IFERROR(INDEX('Employee Master'!$R$10:$R$109,MATCH(B148,'Employee Master'!$A$10:$A$109,0)),0)</f>
        <v>0</v>
      </c>
      <c r="G148" s="16"/>
      <c r="H148" s="16">
        <v>0</v>
      </c>
      <c r="I148" s="14">
        <f t="shared" si="12"/>
        <v>0</v>
      </c>
      <c r="J148" s="14">
        <f>SUMIFS('OT Tracker'!$G$10:$G$209,'OT Tracker'!$B$10:$B$209,B148)</f>
        <v>0</v>
      </c>
      <c r="K148" s="14">
        <v>0</v>
      </c>
      <c r="L148" s="14">
        <f>IFERROR(E148*Lists!$L$13*--(INDEX('Employee Master'!$S$10:$S$109,MATCH(B148,'Employee Master'!$A$10:$A$109,0))="Yes"),0)</f>
        <v>0</v>
      </c>
      <c r="M148" s="14">
        <f>IFERROR(F148*Lists!$L$14*--(INDEX('Employee Master'!$T$10:$T$109,MATCH(B148,'Employee Master'!$A$10:$A$109,0))="Yes"),0)</f>
        <v>0</v>
      </c>
      <c r="N148" s="14">
        <f t="shared" si="13"/>
        <v>0</v>
      </c>
      <c r="O148" s="14">
        <f t="shared" si="14"/>
        <v>0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spans="1:35" x14ac:dyDescent="0.3">
      <c r="A149" s="16"/>
      <c r="B149" s="16"/>
      <c r="C149" s="9" t="str">
        <f>IFERROR(INDEX('Employee Master'!$B$10:$B$109,MATCH(B149,'Employee Master'!$A$10:$A$109,0)),"")</f>
        <v/>
      </c>
      <c r="D149" s="9" t="str">
        <f>IFERROR(INDEX('Employee Master'!$H$10:$H$109,MATCH(B149,'Employee Master'!$A$10:$A$109,0)),"")</f>
        <v/>
      </c>
      <c r="E149" s="14">
        <f>IFERROR(INDEX('Employee Master'!$Q$10:$Q$109,MATCH(B149,'Employee Master'!$A$10:$A$109,0)),0)</f>
        <v>0</v>
      </c>
      <c r="F149" s="14">
        <f>IFERROR(INDEX('Employee Master'!$R$10:$R$109,MATCH(B149,'Employee Master'!$A$10:$A$109,0)),0)</f>
        <v>0</v>
      </c>
      <c r="G149" s="16"/>
      <c r="H149" s="16">
        <v>0</v>
      </c>
      <c r="I149" s="14">
        <f t="shared" si="12"/>
        <v>0</v>
      </c>
      <c r="J149" s="14">
        <f>SUMIFS('OT Tracker'!$G$10:$G$209,'OT Tracker'!$B$10:$B$209,B149)</f>
        <v>0</v>
      </c>
      <c r="K149" s="14">
        <v>0</v>
      </c>
      <c r="L149" s="14">
        <f>IFERROR(E149*Lists!$L$13*--(INDEX('Employee Master'!$S$10:$S$109,MATCH(B149,'Employee Master'!$A$10:$A$109,0))="Yes"),0)</f>
        <v>0</v>
      </c>
      <c r="M149" s="14">
        <f>IFERROR(F149*Lists!$L$14*--(INDEX('Employee Master'!$T$10:$T$109,MATCH(B149,'Employee Master'!$A$10:$A$109,0))="Yes"),0)</f>
        <v>0</v>
      </c>
      <c r="N149" s="14">
        <f t="shared" si="13"/>
        <v>0</v>
      </c>
      <c r="O149" s="14">
        <f t="shared" si="14"/>
        <v>0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spans="1:35" x14ac:dyDescent="0.3">
      <c r="A150" s="16"/>
      <c r="B150" s="16"/>
      <c r="C150" s="9" t="str">
        <f>IFERROR(INDEX('Employee Master'!$B$10:$B$109,MATCH(B150,'Employee Master'!$A$10:$A$109,0)),"")</f>
        <v/>
      </c>
      <c r="D150" s="9" t="str">
        <f>IFERROR(INDEX('Employee Master'!$H$10:$H$109,MATCH(B150,'Employee Master'!$A$10:$A$109,0)),"")</f>
        <v/>
      </c>
      <c r="E150" s="14">
        <f>IFERROR(INDEX('Employee Master'!$Q$10:$Q$109,MATCH(B150,'Employee Master'!$A$10:$A$109,0)),0)</f>
        <v>0</v>
      </c>
      <c r="F150" s="14">
        <f>IFERROR(INDEX('Employee Master'!$R$10:$R$109,MATCH(B150,'Employee Master'!$A$10:$A$109,0)),0)</f>
        <v>0</v>
      </c>
      <c r="G150" s="16"/>
      <c r="H150" s="16">
        <v>0</v>
      </c>
      <c r="I150" s="14">
        <f t="shared" si="12"/>
        <v>0</v>
      </c>
      <c r="J150" s="14">
        <f>SUMIFS('OT Tracker'!$G$10:$G$209,'OT Tracker'!$B$10:$B$209,B150)</f>
        <v>0</v>
      </c>
      <c r="K150" s="14">
        <v>0</v>
      </c>
      <c r="L150" s="14">
        <f>IFERROR(E150*Lists!$L$13*--(INDEX('Employee Master'!$S$10:$S$109,MATCH(B150,'Employee Master'!$A$10:$A$109,0))="Yes"),0)</f>
        <v>0</v>
      </c>
      <c r="M150" s="14">
        <f>IFERROR(F150*Lists!$L$14*--(INDEX('Employee Master'!$T$10:$T$109,MATCH(B150,'Employee Master'!$A$10:$A$109,0))="Yes"),0)</f>
        <v>0</v>
      </c>
      <c r="N150" s="14">
        <f t="shared" si="13"/>
        <v>0</v>
      </c>
      <c r="O150" s="14">
        <f t="shared" si="14"/>
        <v>0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spans="1:35" x14ac:dyDescent="0.3">
      <c r="A151" s="16"/>
      <c r="B151" s="16"/>
      <c r="C151" s="9" t="str">
        <f>IFERROR(INDEX('Employee Master'!$B$10:$B$109,MATCH(B151,'Employee Master'!$A$10:$A$109,0)),"")</f>
        <v/>
      </c>
      <c r="D151" s="9" t="str">
        <f>IFERROR(INDEX('Employee Master'!$H$10:$H$109,MATCH(B151,'Employee Master'!$A$10:$A$109,0)),"")</f>
        <v/>
      </c>
      <c r="E151" s="14">
        <f>IFERROR(INDEX('Employee Master'!$Q$10:$Q$109,MATCH(B151,'Employee Master'!$A$10:$A$109,0)),0)</f>
        <v>0</v>
      </c>
      <c r="F151" s="14">
        <f>IFERROR(INDEX('Employee Master'!$R$10:$R$109,MATCH(B151,'Employee Master'!$A$10:$A$109,0)),0)</f>
        <v>0</v>
      </c>
      <c r="G151" s="16"/>
      <c r="H151" s="16">
        <v>0</v>
      </c>
      <c r="I151" s="14">
        <f t="shared" si="12"/>
        <v>0</v>
      </c>
      <c r="J151" s="14">
        <f>SUMIFS('OT Tracker'!$G$10:$G$209,'OT Tracker'!$B$10:$B$209,B151)</f>
        <v>0</v>
      </c>
      <c r="K151" s="14">
        <v>0</v>
      </c>
      <c r="L151" s="14">
        <f>IFERROR(E151*Lists!$L$13*--(INDEX('Employee Master'!$S$10:$S$109,MATCH(B151,'Employee Master'!$A$10:$A$109,0))="Yes"),0)</f>
        <v>0</v>
      </c>
      <c r="M151" s="14">
        <f>IFERROR(F151*Lists!$L$14*--(INDEX('Employee Master'!$T$10:$T$109,MATCH(B151,'Employee Master'!$A$10:$A$109,0))="Yes"),0)</f>
        <v>0</v>
      </c>
      <c r="N151" s="14">
        <f t="shared" si="13"/>
        <v>0</v>
      </c>
      <c r="O151" s="14">
        <f t="shared" si="14"/>
        <v>0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spans="1:35" x14ac:dyDescent="0.3">
      <c r="A152" s="16"/>
      <c r="B152" s="16"/>
      <c r="C152" s="9" t="str">
        <f>IFERROR(INDEX('Employee Master'!$B$10:$B$109,MATCH(B152,'Employee Master'!$A$10:$A$109,0)),"")</f>
        <v/>
      </c>
      <c r="D152" s="9" t="str">
        <f>IFERROR(INDEX('Employee Master'!$H$10:$H$109,MATCH(B152,'Employee Master'!$A$10:$A$109,0)),"")</f>
        <v/>
      </c>
      <c r="E152" s="14">
        <f>IFERROR(INDEX('Employee Master'!$Q$10:$Q$109,MATCH(B152,'Employee Master'!$A$10:$A$109,0)),0)</f>
        <v>0</v>
      </c>
      <c r="F152" s="14">
        <f>IFERROR(INDEX('Employee Master'!$R$10:$R$109,MATCH(B152,'Employee Master'!$A$10:$A$109,0)),0)</f>
        <v>0</v>
      </c>
      <c r="G152" s="16"/>
      <c r="H152" s="16">
        <v>0</v>
      </c>
      <c r="I152" s="14">
        <f t="shared" si="12"/>
        <v>0</v>
      </c>
      <c r="J152" s="14">
        <f>SUMIFS('OT Tracker'!$G$10:$G$209,'OT Tracker'!$B$10:$B$209,B152)</f>
        <v>0</v>
      </c>
      <c r="K152" s="14">
        <v>0</v>
      </c>
      <c r="L152" s="14">
        <f>IFERROR(E152*Lists!$L$13*--(INDEX('Employee Master'!$S$10:$S$109,MATCH(B152,'Employee Master'!$A$10:$A$109,0))="Yes"),0)</f>
        <v>0</v>
      </c>
      <c r="M152" s="14">
        <f>IFERROR(F152*Lists!$L$14*--(INDEX('Employee Master'!$T$10:$T$109,MATCH(B152,'Employee Master'!$A$10:$A$109,0))="Yes"),0)</f>
        <v>0</v>
      </c>
      <c r="N152" s="14">
        <f t="shared" si="13"/>
        <v>0</v>
      </c>
      <c r="O152" s="14">
        <f t="shared" si="14"/>
        <v>0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spans="1:35" x14ac:dyDescent="0.3">
      <c r="A153" s="16"/>
      <c r="B153" s="16"/>
      <c r="C153" s="9" t="str">
        <f>IFERROR(INDEX('Employee Master'!$B$10:$B$109,MATCH(B153,'Employee Master'!$A$10:$A$109,0)),"")</f>
        <v/>
      </c>
      <c r="D153" s="9" t="str">
        <f>IFERROR(INDEX('Employee Master'!$H$10:$H$109,MATCH(B153,'Employee Master'!$A$10:$A$109,0)),"")</f>
        <v/>
      </c>
      <c r="E153" s="14">
        <f>IFERROR(INDEX('Employee Master'!$Q$10:$Q$109,MATCH(B153,'Employee Master'!$A$10:$A$109,0)),0)</f>
        <v>0</v>
      </c>
      <c r="F153" s="14">
        <f>IFERROR(INDEX('Employee Master'!$R$10:$R$109,MATCH(B153,'Employee Master'!$A$10:$A$109,0)),0)</f>
        <v>0</v>
      </c>
      <c r="G153" s="16"/>
      <c r="H153" s="16">
        <v>0</v>
      </c>
      <c r="I153" s="14">
        <f t="shared" si="12"/>
        <v>0</v>
      </c>
      <c r="J153" s="14">
        <f>SUMIFS('OT Tracker'!$G$10:$G$209,'OT Tracker'!$B$10:$B$209,B153)</f>
        <v>0</v>
      </c>
      <c r="K153" s="14">
        <v>0</v>
      </c>
      <c r="L153" s="14">
        <f>IFERROR(E153*Lists!$L$13*--(INDEX('Employee Master'!$S$10:$S$109,MATCH(B153,'Employee Master'!$A$10:$A$109,0))="Yes"),0)</f>
        <v>0</v>
      </c>
      <c r="M153" s="14">
        <f>IFERROR(F153*Lists!$L$14*--(INDEX('Employee Master'!$T$10:$T$109,MATCH(B153,'Employee Master'!$A$10:$A$109,0))="Yes"),0)</f>
        <v>0</v>
      </c>
      <c r="N153" s="14">
        <f t="shared" si="13"/>
        <v>0</v>
      </c>
      <c r="O153" s="14">
        <f t="shared" si="14"/>
        <v>0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spans="1:35" x14ac:dyDescent="0.3">
      <c r="A154" s="16"/>
      <c r="B154" s="16"/>
      <c r="C154" s="9" t="str">
        <f>IFERROR(INDEX('Employee Master'!$B$10:$B$109,MATCH(B154,'Employee Master'!$A$10:$A$109,0)),"")</f>
        <v/>
      </c>
      <c r="D154" s="9" t="str">
        <f>IFERROR(INDEX('Employee Master'!$H$10:$H$109,MATCH(B154,'Employee Master'!$A$10:$A$109,0)),"")</f>
        <v/>
      </c>
      <c r="E154" s="14">
        <f>IFERROR(INDEX('Employee Master'!$Q$10:$Q$109,MATCH(B154,'Employee Master'!$A$10:$A$109,0)),0)</f>
        <v>0</v>
      </c>
      <c r="F154" s="14">
        <f>IFERROR(INDEX('Employee Master'!$R$10:$R$109,MATCH(B154,'Employee Master'!$A$10:$A$109,0)),0)</f>
        <v>0</v>
      </c>
      <c r="G154" s="16"/>
      <c r="H154" s="16">
        <v>0</v>
      </c>
      <c r="I154" s="14">
        <f t="shared" si="12"/>
        <v>0</v>
      </c>
      <c r="J154" s="14">
        <f>SUMIFS('OT Tracker'!$G$10:$G$209,'OT Tracker'!$B$10:$B$209,B154)</f>
        <v>0</v>
      </c>
      <c r="K154" s="14">
        <v>0</v>
      </c>
      <c r="L154" s="14">
        <f>IFERROR(E154*Lists!$L$13*--(INDEX('Employee Master'!$S$10:$S$109,MATCH(B154,'Employee Master'!$A$10:$A$109,0))="Yes"),0)</f>
        <v>0</v>
      </c>
      <c r="M154" s="14">
        <f>IFERROR(F154*Lists!$L$14*--(INDEX('Employee Master'!$T$10:$T$109,MATCH(B154,'Employee Master'!$A$10:$A$109,0))="Yes"),0)</f>
        <v>0</v>
      </c>
      <c r="N154" s="14">
        <f t="shared" si="13"/>
        <v>0</v>
      </c>
      <c r="O154" s="14">
        <f t="shared" si="14"/>
        <v>0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spans="1:35" x14ac:dyDescent="0.3">
      <c r="A155" s="16"/>
      <c r="B155" s="16"/>
      <c r="C155" s="9" t="str">
        <f>IFERROR(INDEX('Employee Master'!$B$10:$B$109,MATCH(B155,'Employee Master'!$A$10:$A$109,0)),"")</f>
        <v/>
      </c>
      <c r="D155" s="9" t="str">
        <f>IFERROR(INDEX('Employee Master'!$H$10:$H$109,MATCH(B155,'Employee Master'!$A$10:$A$109,0)),"")</f>
        <v/>
      </c>
      <c r="E155" s="14">
        <f>IFERROR(INDEX('Employee Master'!$Q$10:$Q$109,MATCH(B155,'Employee Master'!$A$10:$A$109,0)),0)</f>
        <v>0</v>
      </c>
      <c r="F155" s="14">
        <f>IFERROR(INDEX('Employee Master'!$R$10:$R$109,MATCH(B155,'Employee Master'!$A$10:$A$109,0)),0)</f>
        <v>0</v>
      </c>
      <c r="G155" s="16"/>
      <c r="H155" s="16">
        <v>0</v>
      </c>
      <c r="I155" s="14">
        <f t="shared" si="12"/>
        <v>0</v>
      </c>
      <c r="J155" s="14">
        <f>SUMIFS('OT Tracker'!$G$10:$G$209,'OT Tracker'!$B$10:$B$209,B155)</f>
        <v>0</v>
      </c>
      <c r="K155" s="14">
        <v>0</v>
      </c>
      <c r="L155" s="14">
        <f>IFERROR(E155*Lists!$L$13*--(INDEX('Employee Master'!$S$10:$S$109,MATCH(B155,'Employee Master'!$A$10:$A$109,0))="Yes"),0)</f>
        <v>0</v>
      </c>
      <c r="M155" s="14">
        <f>IFERROR(F155*Lists!$L$14*--(INDEX('Employee Master'!$T$10:$T$109,MATCH(B155,'Employee Master'!$A$10:$A$109,0))="Yes"),0)</f>
        <v>0</v>
      </c>
      <c r="N155" s="14">
        <f t="shared" si="13"/>
        <v>0</v>
      </c>
      <c r="O155" s="14">
        <f t="shared" si="14"/>
        <v>0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spans="1:35" x14ac:dyDescent="0.3">
      <c r="A156" s="16"/>
      <c r="B156" s="16"/>
      <c r="C156" s="9" t="str">
        <f>IFERROR(INDEX('Employee Master'!$B$10:$B$109,MATCH(B156,'Employee Master'!$A$10:$A$109,0)),"")</f>
        <v/>
      </c>
      <c r="D156" s="9" t="str">
        <f>IFERROR(INDEX('Employee Master'!$H$10:$H$109,MATCH(B156,'Employee Master'!$A$10:$A$109,0)),"")</f>
        <v/>
      </c>
      <c r="E156" s="14">
        <f>IFERROR(INDEX('Employee Master'!$Q$10:$Q$109,MATCH(B156,'Employee Master'!$A$10:$A$109,0)),0)</f>
        <v>0</v>
      </c>
      <c r="F156" s="14">
        <f>IFERROR(INDEX('Employee Master'!$R$10:$R$109,MATCH(B156,'Employee Master'!$A$10:$A$109,0)),0)</f>
        <v>0</v>
      </c>
      <c r="G156" s="16"/>
      <c r="H156" s="16">
        <v>0</v>
      </c>
      <c r="I156" s="14">
        <f t="shared" si="12"/>
        <v>0</v>
      </c>
      <c r="J156" s="14">
        <f>SUMIFS('OT Tracker'!$G$10:$G$209,'OT Tracker'!$B$10:$B$209,B156)</f>
        <v>0</v>
      </c>
      <c r="K156" s="14">
        <v>0</v>
      </c>
      <c r="L156" s="14">
        <f>IFERROR(E156*Lists!$L$13*--(INDEX('Employee Master'!$S$10:$S$109,MATCH(B156,'Employee Master'!$A$10:$A$109,0))="Yes"),0)</f>
        <v>0</v>
      </c>
      <c r="M156" s="14">
        <f>IFERROR(F156*Lists!$L$14*--(INDEX('Employee Master'!$T$10:$T$109,MATCH(B156,'Employee Master'!$A$10:$A$109,0))="Yes"),0)</f>
        <v>0</v>
      </c>
      <c r="N156" s="14">
        <f t="shared" si="13"/>
        <v>0</v>
      </c>
      <c r="O156" s="14">
        <f t="shared" si="14"/>
        <v>0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spans="1:35" x14ac:dyDescent="0.3">
      <c r="A157" s="16"/>
      <c r="B157" s="16"/>
      <c r="C157" s="9" t="str">
        <f>IFERROR(INDEX('Employee Master'!$B$10:$B$109,MATCH(B157,'Employee Master'!$A$10:$A$109,0)),"")</f>
        <v/>
      </c>
      <c r="D157" s="9" t="str">
        <f>IFERROR(INDEX('Employee Master'!$H$10:$H$109,MATCH(B157,'Employee Master'!$A$10:$A$109,0)),"")</f>
        <v/>
      </c>
      <c r="E157" s="14">
        <f>IFERROR(INDEX('Employee Master'!$Q$10:$Q$109,MATCH(B157,'Employee Master'!$A$10:$A$109,0)),0)</f>
        <v>0</v>
      </c>
      <c r="F157" s="14">
        <f>IFERROR(INDEX('Employee Master'!$R$10:$R$109,MATCH(B157,'Employee Master'!$A$10:$A$109,0)),0)</f>
        <v>0</v>
      </c>
      <c r="G157" s="16"/>
      <c r="H157" s="16">
        <v>0</v>
      </c>
      <c r="I157" s="14">
        <f t="shared" si="12"/>
        <v>0</v>
      </c>
      <c r="J157" s="14">
        <f>SUMIFS('OT Tracker'!$G$10:$G$209,'OT Tracker'!$B$10:$B$209,B157)</f>
        <v>0</v>
      </c>
      <c r="K157" s="14">
        <v>0</v>
      </c>
      <c r="L157" s="14">
        <f>IFERROR(E157*Lists!$L$13*--(INDEX('Employee Master'!$S$10:$S$109,MATCH(B157,'Employee Master'!$A$10:$A$109,0))="Yes"),0)</f>
        <v>0</v>
      </c>
      <c r="M157" s="14">
        <f>IFERROR(F157*Lists!$L$14*--(INDEX('Employee Master'!$T$10:$T$109,MATCH(B157,'Employee Master'!$A$10:$A$109,0))="Yes"),0)</f>
        <v>0</v>
      </c>
      <c r="N157" s="14">
        <f t="shared" si="13"/>
        <v>0</v>
      </c>
      <c r="O157" s="14">
        <f t="shared" si="14"/>
        <v>0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spans="1:35" x14ac:dyDescent="0.3">
      <c r="A158" s="16"/>
      <c r="B158" s="16"/>
      <c r="C158" s="9" t="str">
        <f>IFERROR(INDEX('Employee Master'!$B$10:$B$109,MATCH(B158,'Employee Master'!$A$10:$A$109,0)),"")</f>
        <v/>
      </c>
      <c r="D158" s="9" t="str">
        <f>IFERROR(INDEX('Employee Master'!$H$10:$H$109,MATCH(B158,'Employee Master'!$A$10:$A$109,0)),"")</f>
        <v/>
      </c>
      <c r="E158" s="14">
        <f>IFERROR(INDEX('Employee Master'!$Q$10:$Q$109,MATCH(B158,'Employee Master'!$A$10:$A$109,0)),0)</f>
        <v>0</v>
      </c>
      <c r="F158" s="14">
        <f>IFERROR(INDEX('Employee Master'!$R$10:$R$109,MATCH(B158,'Employee Master'!$A$10:$A$109,0)),0)</f>
        <v>0</v>
      </c>
      <c r="G158" s="16"/>
      <c r="H158" s="16">
        <v>0</v>
      </c>
      <c r="I158" s="14">
        <f t="shared" si="12"/>
        <v>0</v>
      </c>
      <c r="J158" s="14">
        <f>SUMIFS('OT Tracker'!$G$10:$G$209,'OT Tracker'!$B$10:$B$209,B158)</f>
        <v>0</v>
      </c>
      <c r="K158" s="14">
        <v>0</v>
      </c>
      <c r="L158" s="14">
        <f>IFERROR(E158*Lists!$L$13*--(INDEX('Employee Master'!$S$10:$S$109,MATCH(B158,'Employee Master'!$A$10:$A$109,0))="Yes"),0)</f>
        <v>0</v>
      </c>
      <c r="M158" s="14">
        <f>IFERROR(F158*Lists!$L$14*--(INDEX('Employee Master'!$T$10:$T$109,MATCH(B158,'Employee Master'!$A$10:$A$109,0))="Yes"),0)</f>
        <v>0</v>
      </c>
      <c r="N158" s="14">
        <f t="shared" si="13"/>
        <v>0</v>
      </c>
      <c r="O158" s="14">
        <f t="shared" si="14"/>
        <v>0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spans="1:35" x14ac:dyDescent="0.3">
      <c r="A159" s="16"/>
      <c r="B159" s="16"/>
      <c r="C159" s="9" t="str">
        <f>IFERROR(INDEX('Employee Master'!$B$10:$B$109,MATCH(B159,'Employee Master'!$A$10:$A$109,0)),"")</f>
        <v/>
      </c>
      <c r="D159" s="9" t="str">
        <f>IFERROR(INDEX('Employee Master'!$H$10:$H$109,MATCH(B159,'Employee Master'!$A$10:$A$109,0)),"")</f>
        <v/>
      </c>
      <c r="E159" s="14">
        <f>IFERROR(INDEX('Employee Master'!$Q$10:$Q$109,MATCH(B159,'Employee Master'!$A$10:$A$109,0)),0)</f>
        <v>0</v>
      </c>
      <c r="F159" s="14">
        <f>IFERROR(INDEX('Employee Master'!$R$10:$R$109,MATCH(B159,'Employee Master'!$A$10:$A$109,0)),0)</f>
        <v>0</v>
      </c>
      <c r="G159" s="16"/>
      <c r="H159" s="16">
        <v>0</v>
      </c>
      <c r="I159" s="14">
        <f t="shared" si="12"/>
        <v>0</v>
      </c>
      <c r="J159" s="14">
        <f>SUMIFS('OT Tracker'!$G$10:$G$209,'OT Tracker'!$B$10:$B$209,B159)</f>
        <v>0</v>
      </c>
      <c r="K159" s="14">
        <v>0</v>
      </c>
      <c r="L159" s="14">
        <f>IFERROR(E159*Lists!$L$13*--(INDEX('Employee Master'!$S$10:$S$109,MATCH(B159,'Employee Master'!$A$10:$A$109,0))="Yes"),0)</f>
        <v>0</v>
      </c>
      <c r="M159" s="14">
        <f>IFERROR(F159*Lists!$L$14*--(INDEX('Employee Master'!$T$10:$T$109,MATCH(B159,'Employee Master'!$A$10:$A$109,0))="Yes"),0)</f>
        <v>0</v>
      </c>
      <c r="N159" s="14">
        <f t="shared" si="13"/>
        <v>0</v>
      </c>
      <c r="O159" s="14">
        <f t="shared" si="14"/>
        <v>0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spans="1:35" x14ac:dyDescent="0.3">
      <c r="A160" s="16"/>
      <c r="B160" s="16"/>
      <c r="C160" s="9" t="str">
        <f>IFERROR(INDEX('Employee Master'!$B$10:$B$109,MATCH(B160,'Employee Master'!$A$10:$A$109,0)),"")</f>
        <v/>
      </c>
      <c r="D160" s="9" t="str">
        <f>IFERROR(INDEX('Employee Master'!$H$10:$H$109,MATCH(B160,'Employee Master'!$A$10:$A$109,0)),"")</f>
        <v/>
      </c>
      <c r="E160" s="14">
        <f>IFERROR(INDEX('Employee Master'!$Q$10:$Q$109,MATCH(B160,'Employee Master'!$A$10:$A$109,0)),0)</f>
        <v>0</v>
      </c>
      <c r="F160" s="14">
        <f>IFERROR(INDEX('Employee Master'!$R$10:$R$109,MATCH(B160,'Employee Master'!$A$10:$A$109,0)),0)</f>
        <v>0</v>
      </c>
      <c r="G160" s="16"/>
      <c r="H160" s="16">
        <v>0</v>
      </c>
      <c r="I160" s="14">
        <f t="shared" si="12"/>
        <v>0</v>
      </c>
      <c r="J160" s="14">
        <f>SUMIFS('OT Tracker'!$G$10:$G$209,'OT Tracker'!$B$10:$B$209,B160)</f>
        <v>0</v>
      </c>
      <c r="K160" s="14">
        <v>0</v>
      </c>
      <c r="L160" s="14">
        <f>IFERROR(E160*Lists!$L$13*--(INDEX('Employee Master'!$S$10:$S$109,MATCH(B160,'Employee Master'!$A$10:$A$109,0))="Yes"),0)</f>
        <v>0</v>
      </c>
      <c r="M160" s="14">
        <f>IFERROR(F160*Lists!$L$14*--(INDEX('Employee Master'!$T$10:$T$109,MATCH(B160,'Employee Master'!$A$10:$A$109,0))="Yes"),0)</f>
        <v>0</v>
      </c>
      <c r="N160" s="14">
        <f t="shared" si="13"/>
        <v>0</v>
      </c>
      <c r="O160" s="14">
        <f t="shared" si="14"/>
        <v>0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spans="1:35" x14ac:dyDescent="0.3">
      <c r="A161" s="16"/>
      <c r="B161" s="16"/>
      <c r="C161" s="9" t="str">
        <f>IFERROR(INDEX('Employee Master'!$B$10:$B$109,MATCH(B161,'Employee Master'!$A$10:$A$109,0)),"")</f>
        <v/>
      </c>
      <c r="D161" s="9" t="str">
        <f>IFERROR(INDEX('Employee Master'!$H$10:$H$109,MATCH(B161,'Employee Master'!$A$10:$A$109,0)),"")</f>
        <v/>
      </c>
      <c r="E161" s="14">
        <f>IFERROR(INDEX('Employee Master'!$Q$10:$Q$109,MATCH(B161,'Employee Master'!$A$10:$A$109,0)),0)</f>
        <v>0</v>
      </c>
      <c r="F161" s="14">
        <f>IFERROR(INDEX('Employee Master'!$R$10:$R$109,MATCH(B161,'Employee Master'!$A$10:$A$109,0)),0)</f>
        <v>0</v>
      </c>
      <c r="G161" s="16"/>
      <c r="H161" s="16">
        <v>0</v>
      </c>
      <c r="I161" s="14">
        <f t="shared" si="12"/>
        <v>0</v>
      </c>
      <c r="J161" s="14">
        <f>SUMIFS('OT Tracker'!$G$10:$G$209,'OT Tracker'!$B$10:$B$209,B161)</f>
        <v>0</v>
      </c>
      <c r="K161" s="14">
        <v>0</v>
      </c>
      <c r="L161" s="14">
        <f>IFERROR(E161*Lists!$L$13*--(INDEX('Employee Master'!$S$10:$S$109,MATCH(B161,'Employee Master'!$A$10:$A$109,0))="Yes"),0)</f>
        <v>0</v>
      </c>
      <c r="M161" s="14">
        <f>IFERROR(F161*Lists!$L$14*--(INDEX('Employee Master'!$T$10:$T$109,MATCH(B161,'Employee Master'!$A$10:$A$109,0))="Yes"),0)</f>
        <v>0</v>
      </c>
      <c r="N161" s="14">
        <f t="shared" si="13"/>
        <v>0</v>
      </c>
      <c r="O161" s="14">
        <f t="shared" si="14"/>
        <v>0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spans="1:35" x14ac:dyDescent="0.3">
      <c r="A162" s="16"/>
      <c r="B162" s="16"/>
      <c r="C162" s="9" t="str">
        <f>IFERROR(INDEX('Employee Master'!$B$10:$B$109,MATCH(B162,'Employee Master'!$A$10:$A$109,0)),"")</f>
        <v/>
      </c>
      <c r="D162" s="9" t="str">
        <f>IFERROR(INDEX('Employee Master'!$H$10:$H$109,MATCH(B162,'Employee Master'!$A$10:$A$109,0)),"")</f>
        <v/>
      </c>
      <c r="E162" s="14">
        <f>IFERROR(INDEX('Employee Master'!$Q$10:$Q$109,MATCH(B162,'Employee Master'!$A$10:$A$109,0)),0)</f>
        <v>0</v>
      </c>
      <c r="F162" s="14">
        <f>IFERROR(INDEX('Employee Master'!$R$10:$R$109,MATCH(B162,'Employee Master'!$A$10:$A$109,0)),0)</f>
        <v>0</v>
      </c>
      <c r="G162" s="16"/>
      <c r="H162" s="16">
        <v>0</v>
      </c>
      <c r="I162" s="14">
        <f t="shared" si="12"/>
        <v>0</v>
      </c>
      <c r="J162" s="14">
        <f>SUMIFS('OT Tracker'!$G$10:$G$209,'OT Tracker'!$B$10:$B$209,B162)</f>
        <v>0</v>
      </c>
      <c r="K162" s="14">
        <v>0</v>
      </c>
      <c r="L162" s="14">
        <f>IFERROR(E162*Lists!$L$13*--(INDEX('Employee Master'!$S$10:$S$109,MATCH(B162,'Employee Master'!$A$10:$A$109,0))="Yes"),0)</f>
        <v>0</v>
      </c>
      <c r="M162" s="14">
        <f>IFERROR(F162*Lists!$L$14*--(INDEX('Employee Master'!$T$10:$T$109,MATCH(B162,'Employee Master'!$A$10:$A$109,0))="Yes"),0)</f>
        <v>0</v>
      </c>
      <c r="N162" s="14">
        <f t="shared" si="13"/>
        <v>0</v>
      </c>
      <c r="O162" s="14">
        <f t="shared" si="14"/>
        <v>0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spans="1:35" x14ac:dyDescent="0.3">
      <c r="A163" s="16"/>
      <c r="B163" s="16"/>
      <c r="C163" s="9" t="str">
        <f>IFERROR(INDEX('Employee Master'!$B$10:$B$109,MATCH(B163,'Employee Master'!$A$10:$A$109,0)),"")</f>
        <v/>
      </c>
      <c r="D163" s="9" t="str">
        <f>IFERROR(INDEX('Employee Master'!$H$10:$H$109,MATCH(B163,'Employee Master'!$A$10:$A$109,0)),"")</f>
        <v/>
      </c>
      <c r="E163" s="14">
        <f>IFERROR(INDEX('Employee Master'!$Q$10:$Q$109,MATCH(B163,'Employee Master'!$A$10:$A$109,0)),0)</f>
        <v>0</v>
      </c>
      <c r="F163" s="14">
        <f>IFERROR(INDEX('Employee Master'!$R$10:$R$109,MATCH(B163,'Employee Master'!$A$10:$A$109,0)),0)</f>
        <v>0</v>
      </c>
      <c r="G163" s="16"/>
      <c r="H163" s="16">
        <v>0</v>
      </c>
      <c r="I163" s="14">
        <f t="shared" si="12"/>
        <v>0</v>
      </c>
      <c r="J163" s="14">
        <f>SUMIFS('OT Tracker'!$G$10:$G$209,'OT Tracker'!$B$10:$B$209,B163)</f>
        <v>0</v>
      </c>
      <c r="K163" s="14">
        <v>0</v>
      </c>
      <c r="L163" s="14">
        <f>IFERROR(E163*Lists!$L$13*--(INDEX('Employee Master'!$S$10:$S$109,MATCH(B163,'Employee Master'!$A$10:$A$109,0))="Yes"),0)</f>
        <v>0</v>
      </c>
      <c r="M163" s="14">
        <f>IFERROR(F163*Lists!$L$14*--(INDEX('Employee Master'!$T$10:$T$109,MATCH(B163,'Employee Master'!$A$10:$A$109,0))="Yes"),0)</f>
        <v>0</v>
      </c>
      <c r="N163" s="14">
        <f t="shared" si="13"/>
        <v>0</v>
      </c>
      <c r="O163" s="14">
        <f t="shared" si="14"/>
        <v>0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spans="1:35" x14ac:dyDescent="0.3">
      <c r="A164" s="16"/>
      <c r="B164" s="16"/>
      <c r="C164" s="9" t="str">
        <f>IFERROR(INDEX('Employee Master'!$B$10:$B$109,MATCH(B164,'Employee Master'!$A$10:$A$109,0)),"")</f>
        <v/>
      </c>
      <c r="D164" s="9" t="str">
        <f>IFERROR(INDEX('Employee Master'!$H$10:$H$109,MATCH(B164,'Employee Master'!$A$10:$A$109,0)),"")</f>
        <v/>
      </c>
      <c r="E164" s="14">
        <f>IFERROR(INDEX('Employee Master'!$Q$10:$Q$109,MATCH(B164,'Employee Master'!$A$10:$A$109,0)),0)</f>
        <v>0</v>
      </c>
      <c r="F164" s="14">
        <f>IFERROR(INDEX('Employee Master'!$R$10:$R$109,MATCH(B164,'Employee Master'!$A$10:$A$109,0)),0)</f>
        <v>0</v>
      </c>
      <c r="G164" s="16"/>
      <c r="H164" s="16">
        <v>0</v>
      </c>
      <c r="I164" s="14">
        <f t="shared" si="12"/>
        <v>0</v>
      </c>
      <c r="J164" s="14">
        <f>SUMIFS('OT Tracker'!$G$10:$G$209,'OT Tracker'!$B$10:$B$209,B164)</f>
        <v>0</v>
      </c>
      <c r="K164" s="14">
        <v>0</v>
      </c>
      <c r="L164" s="14">
        <f>IFERROR(E164*Lists!$L$13*--(INDEX('Employee Master'!$S$10:$S$109,MATCH(B164,'Employee Master'!$A$10:$A$109,0))="Yes"),0)</f>
        <v>0</v>
      </c>
      <c r="M164" s="14">
        <f>IFERROR(F164*Lists!$L$14*--(INDEX('Employee Master'!$T$10:$T$109,MATCH(B164,'Employee Master'!$A$10:$A$109,0))="Yes"),0)</f>
        <v>0</v>
      </c>
      <c r="N164" s="14">
        <f t="shared" si="13"/>
        <v>0</v>
      </c>
      <c r="O164" s="14">
        <f t="shared" si="14"/>
        <v>0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spans="1:35" x14ac:dyDescent="0.3">
      <c r="A165" s="16"/>
      <c r="B165" s="16"/>
      <c r="C165" s="9" t="str">
        <f>IFERROR(INDEX('Employee Master'!$B$10:$B$109,MATCH(B165,'Employee Master'!$A$10:$A$109,0)),"")</f>
        <v/>
      </c>
      <c r="D165" s="9" t="str">
        <f>IFERROR(INDEX('Employee Master'!$H$10:$H$109,MATCH(B165,'Employee Master'!$A$10:$A$109,0)),"")</f>
        <v/>
      </c>
      <c r="E165" s="14">
        <f>IFERROR(INDEX('Employee Master'!$Q$10:$Q$109,MATCH(B165,'Employee Master'!$A$10:$A$109,0)),0)</f>
        <v>0</v>
      </c>
      <c r="F165" s="14">
        <f>IFERROR(INDEX('Employee Master'!$R$10:$R$109,MATCH(B165,'Employee Master'!$A$10:$A$109,0)),0)</f>
        <v>0</v>
      </c>
      <c r="G165" s="16"/>
      <c r="H165" s="16">
        <v>0</v>
      </c>
      <c r="I165" s="14">
        <f t="shared" si="12"/>
        <v>0</v>
      </c>
      <c r="J165" s="14">
        <f>SUMIFS('OT Tracker'!$G$10:$G$209,'OT Tracker'!$B$10:$B$209,B165)</f>
        <v>0</v>
      </c>
      <c r="K165" s="14">
        <v>0</v>
      </c>
      <c r="L165" s="14">
        <f>IFERROR(E165*Lists!$L$13*--(INDEX('Employee Master'!$S$10:$S$109,MATCH(B165,'Employee Master'!$A$10:$A$109,0))="Yes"),0)</f>
        <v>0</v>
      </c>
      <c r="M165" s="14">
        <f>IFERROR(F165*Lists!$L$14*--(INDEX('Employee Master'!$T$10:$T$109,MATCH(B165,'Employee Master'!$A$10:$A$109,0))="Yes"),0)</f>
        <v>0</v>
      </c>
      <c r="N165" s="14">
        <f t="shared" si="13"/>
        <v>0</v>
      </c>
      <c r="O165" s="14">
        <f t="shared" si="14"/>
        <v>0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spans="1:35" x14ac:dyDescent="0.3">
      <c r="A166" s="16"/>
      <c r="B166" s="16"/>
      <c r="C166" s="9" t="str">
        <f>IFERROR(INDEX('Employee Master'!$B$10:$B$109,MATCH(B166,'Employee Master'!$A$10:$A$109,0)),"")</f>
        <v/>
      </c>
      <c r="D166" s="9" t="str">
        <f>IFERROR(INDEX('Employee Master'!$H$10:$H$109,MATCH(B166,'Employee Master'!$A$10:$A$109,0)),"")</f>
        <v/>
      </c>
      <c r="E166" s="14">
        <f>IFERROR(INDEX('Employee Master'!$Q$10:$Q$109,MATCH(B166,'Employee Master'!$A$10:$A$109,0)),0)</f>
        <v>0</v>
      </c>
      <c r="F166" s="14">
        <f>IFERROR(INDEX('Employee Master'!$R$10:$R$109,MATCH(B166,'Employee Master'!$A$10:$A$109,0)),0)</f>
        <v>0</v>
      </c>
      <c r="G166" s="16"/>
      <c r="H166" s="16">
        <v>0</v>
      </c>
      <c r="I166" s="14">
        <f t="shared" si="12"/>
        <v>0</v>
      </c>
      <c r="J166" s="14">
        <f>SUMIFS('OT Tracker'!$G$10:$G$209,'OT Tracker'!$B$10:$B$209,B166)</f>
        <v>0</v>
      </c>
      <c r="K166" s="14">
        <v>0</v>
      </c>
      <c r="L166" s="14">
        <f>IFERROR(E166*Lists!$L$13*--(INDEX('Employee Master'!$S$10:$S$109,MATCH(B166,'Employee Master'!$A$10:$A$109,0))="Yes"),0)</f>
        <v>0</v>
      </c>
      <c r="M166" s="14">
        <f>IFERROR(F166*Lists!$L$14*--(INDEX('Employee Master'!$T$10:$T$109,MATCH(B166,'Employee Master'!$A$10:$A$109,0))="Yes"),0)</f>
        <v>0</v>
      </c>
      <c r="N166" s="14">
        <f t="shared" si="13"/>
        <v>0</v>
      </c>
      <c r="O166" s="14">
        <f t="shared" si="14"/>
        <v>0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spans="1:35" x14ac:dyDescent="0.3">
      <c r="A167" s="16"/>
      <c r="B167" s="16"/>
      <c r="C167" s="9" t="str">
        <f>IFERROR(INDEX('Employee Master'!$B$10:$B$109,MATCH(B167,'Employee Master'!$A$10:$A$109,0)),"")</f>
        <v/>
      </c>
      <c r="D167" s="9" t="str">
        <f>IFERROR(INDEX('Employee Master'!$H$10:$H$109,MATCH(B167,'Employee Master'!$A$10:$A$109,0)),"")</f>
        <v/>
      </c>
      <c r="E167" s="14">
        <f>IFERROR(INDEX('Employee Master'!$Q$10:$Q$109,MATCH(B167,'Employee Master'!$A$10:$A$109,0)),0)</f>
        <v>0</v>
      </c>
      <c r="F167" s="14">
        <f>IFERROR(INDEX('Employee Master'!$R$10:$R$109,MATCH(B167,'Employee Master'!$A$10:$A$109,0)),0)</f>
        <v>0</v>
      </c>
      <c r="G167" s="16"/>
      <c r="H167" s="16">
        <v>0</v>
      </c>
      <c r="I167" s="14">
        <f t="shared" si="12"/>
        <v>0</v>
      </c>
      <c r="J167" s="14">
        <f>SUMIFS('OT Tracker'!$G$10:$G$209,'OT Tracker'!$B$10:$B$209,B167)</f>
        <v>0</v>
      </c>
      <c r="K167" s="14">
        <v>0</v>
      </c>
      <c r="L167" s="14">
        <f>IFERROR(E167*Lists!$L$13*--(INDEX('Employee Master'!$S$10:$S$109,MATCH(B167,'Employee Master'!$A$10:$A$109,0))="Yes"),0)</f>
        <v>0</v>
      </c>
      <c r="M167" s="14">
        <f>IFERROR(F167*Lists!$L$14*--(INDEX('Employee Master'!$T$10:$T$109,MATCH(B167,'Employee Master'!$A$10:$A$109,0))="Yes"),0)</f>
        <v>0</v>
      </c>
      <c r="N167" s="14">
        <f t="shared" si="13"/>
        <v>0</v>
      </c>
      <c r="O167" s="14">
        <f t="shared" si="14"/>
        <v>0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spans="1:35" x14ac:dyDescent="0.3">
      <c r="A168" s="16"/>
      <c r="B168" s="16"/>
      <c r="C168" s="9" t="str">
        <f>IFERROR(INDEX('Employee Master'!$B$10:$B$109,MATCH(B168,'Employee Master'!$A$10:$A$109,0)),"")</f>
        <v/>
      </c>
      <c r="D168" s="9" t="str">
        <f>IFERROR(INDEX('Employee Master'!$H$10:$H$109,MATCH(B168,'Employee Master'!$A$10:$A$109,0)),"")</f>
        <v/>
      </c>
      <c r="E168" s="14">
        <f>IFERROR(INDEX('Employee Master'!$Q$10:$Q$109,MATCH(B168,'Employee Master'!$A$10:$A$109,0)),0)</f>
        <v>0</v>
      </c>
      <c r="F168" s="14">
        <f>IFERROR(INDEX('Employee Master'!$R$10:$R$109,MATCH(B168,'Employee Master'!$A$10:$A$109,0)),0)</f>
        <v>0</v>
      </c>
      <c r="G168" s="16"/>
      <c r="H168" s="16">
        <v>0</v>
      </c>
      <c r="I168" s="14">
        <f t="shared" si="12"/>
        <v>0</v>
      </c>
      <c r="J168" s="14">
        <f>SUMIFS('OT Tracker'!$G$10:$G$209,'OT Tracker'!$B$10:$B$209,B168)</f>
        <v>0</v>
      </c>
      <c r="K168" s="14">
        <v>0</v>
      </c>
      <c r="L168" s="14">
        <f>IFERROR(E168*Lists!$L$13*--(INDEX('Employee Master'!$S$10:$S$109,MATCH(B168,'Employee Master'!$A$10:$A$109,0))="Yes"),0)</f>
        <v>0</v>
      </c>
      <c r="M168" s="14">
        <f>IFERROR(F168*Lists!$L$14*--(INDEX('Employee Master'!$T$10:$T$109,MATCH(B168,'Employee Master'!$A$10:$A$109,0))="Yes"),0)</f>
        <v>0</v>
      </c>
      <c r="N168" s="14">
        <f t="shared" si="13"/>
        <v>0</v>
      </c>
      <c r="O168" s="14">
        <f t="shared" si="14"/>
        <v>0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spans="1:35" x14ac:dyDescent="0.3">
      <c r="A169" s="16"/>
      <c r="B169" s="16"/>
      <c r="C169" s="9" t="str">
        <f>IFERROR(INDEX('Employee Master'!$B$10:$B$109,MATCH(B169,'Employee Master'!$A$10:$A$109,0)),"")</f>
        <v/>
      </c>
      <c r="D169" s="9" t="str">
        <f>IFERROR(INDEX('Employee Master'!$H$10:$H$109,MATCH(B169,'Employee Master'!$A$10:$A$109,0)),"")</f>
        <v/>
      </c>
      <c r="E169" s="14">
        <f>IFERROR(INDEX('Employee Master'!$Q$10:$Q$109,MATCH(B169,'Employee Master'!$A$10:$A$109,0)),0)</f>
        <v>0</v>
      </c>
      <c r="F169" s="14">
        <f>IFERROR(INDEX('Employee Master'!$R$10:$R$109,MATCH(B169,'Employee Master'!$A$10:$A$109,0)),0)</f>
        <v>0</v>
      </c>
      <c r="G169" s="16"/>
      <c r="H169" s="16">
        <v>0</v>
      </c>
      <c r="I169" s="14">
        <f t="shared" si="12"/>
        <v>0</v>
      </c>
      <c r="J169" s="14">
        <f>SUMIFS('OT Tracker'!$G$10:$G$209,'OT Tracker'!$B$10:$B$209,B169)</f>
        <v>0</v>
      </c>
      <c r="K169" s="14">
        <v>0</v>
      </c>
      <c r="L169" s="14">
        <f>IFERROR(E169*Lists!$L$13*--(INDEX('Employee Master'!$S$10:$S$109,MATCH(B169,'Employee Master'!$A$10:$A$109,0))="Yes"),0)</f>
        <v>0</v>
      </c>
      <c r="M169" s="14">
        <f>IFERROR(F169*Lists!$L$14*--(INDEX('Employee Master'!$T$10:$T$109,MATCH(B169,'Employee Master'!$A$10:$A$109,0))="Yes"),0)</f>
        <v>0</v>
      </c>
      <c r="N169" s="14">
        <f t="shared" si="13"/>
        <v>0</v>
      </c>
      <c r="O169" s="14">
        <f t="shared" si="14"/>
        <v>0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spans="1:35" x14ac:dyDescent="0.3">
      <c r="A170" s="16"/>
      <c r="B170" s="16"/>
      <c r="C170" s="9" t="str">
        <f>IFERROR(INDEX('Employee Master'!$B$10:$B$109,MATCH(B170,'Employee Master'!$A$10:$A$109,0)),"")</f>
        <v/>
      </c>
      <c r="D170" s="9" t="str">
        <f>IFERROR(INDEX('Employee Master'!$H$10:$H$109,MATCH(B170,'Employee Master'!$A$10:$A$109,0)),"")</f>
        <v/>
      </c>
      <c r="E170" s="14">
        <f>IFERROR(INDEX('Employee Master'!$Q$10:$Q$109,MATCH(B170,'Employee Master'!$A$10:$A$109,0)),0)</f>
        <v>0</v>
      </c>
      <c r="F170" s="14">
        <f>IFERROR(INDEX('Employee Master'!$R$10:$R$109,MATCH(B170,'Employee Master'!$A$10:$A$109,0)),0)</f>
        <v>0</v>
      </c>
      <c r="G170" s="16"/>
      <c r="H170" s="16">
        <v>0</v>
      </c>
      <c r="I170" s="14">
        <f t="shared" ref="I170:I201" si="15">IFERROR(F170/30*H170,0)</f>
        <v>0</v>
      </c>
      <c r="J170" s="14">
        <f>SUMIFS('OT Tracker'!$G$10:$G$209,'OT Tracker'!$B$10:$B$209,B170)</f>
        <v>0</v>
      </c>
      <c r="K170" s="14">
        <v>0</v>
      </c>
      <c r="L170" s="14">
        <f>IFERROR(E170*Lists!$L$13*--(INDEX('Employee Master'!$S$10:$S$109,MATCH(B170,'Employee Master'!$A$10:$A$109,0))="Yes"),0)</f>
        <v>0</v>
      </c>
      <c r="M170" s="14">
        <f>IFERROR(F170*Lists!$L$14*--(INDEX('Employee Master'!$T$10:$T$109,MATCH(B170,'Employee Master'!$A$10:$A$109,0))="Yes"),0)</f>
        <v>0</v>
      </c>
      <c r="N170" s="14">
        <f t="shared" ref="N170:N201" si="16">I170+K170+L170+M170</f>
        <v>0</v>
      </c>
      <c r="O170" s="14">
        <f t="shared" ref="O170:O201" si="17">F170+J170-N170</f>
        <v>0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spans="1:35" x14ac:dyDescent="0.3">
      <c r="A171" s="16"/>
      <c r="B171" s="16"/>
      <c r="C171" s="9" t="str">
        <f>IFERROR(INDEX('Employee Master'!$B$10:$B$109,MATCH(B171,'Employee Master'!$A$10:$A$109,0)),"")</f>
        <v/>
      </c>
      <c r="D171" s="9" t="str">
        <f>IFERROR(INDEX('Employee Master'!$H$10:$H$109,MATCH(B171,'Employee Master'!$A$10:$A$109,0)),"")</f>
        <v/>
      </c>
      <c r="E171" s="14">
        <f>IFERROR(INDEX('Employee Master'!$Q$10:$Q$109,MATCH(B171,'Employee Master'!$A$10:$A$109,0)),0)</f>
        <v>0</v>
      </c>
      <c r="F171" s="14">
        <f>IFERROR(INDEX('Employee Master'!$R$10:$R$109,MATCH(B171,'Employee Master'!$A$10:$A$109,0)),0)</f>
        <v>0</v>
      </c>
      <c r="G171" s="16"/>
      <c r="H171" s="16">
        <v>0</v>
      </c>
      <c r="I171" s="14">
        <f t="shared" si="15"/>
        <v>0</v>
      </c>
      <c r="J171" s="14">
        <f>SUMIFS('OT Tracker'!$G$10:$G$209,'OT Tracker'!$B$10:$B$209,B171)</f>
        <v>0</v>
      </c>
      <c r="K171" s="14">
        <v>0</v>
      </c>
      <c r="L171" s="14">
        <f>IFERROR(E171*Lists!$L$13*--(INDEX('Employee Master'!$S$10:$S$109,MATCH(B171,'Employee Master'!$A$10:$A$109,0))="Yes"),0)</f>
        <v>0</v>
      </c>
      <c r="M171" s="14">
        <f>IFERROR(F171*Lists!$L$14*--(INDEX('Employee Master'!$T$10:$T$109,MATCH(B171,'Employee Master'!$A$10:$A$109,0))="Yes"),0)</f>
        <v>0</v>
      </c>
      <c r="N171" s="14">
        <f t="shared" si="16"/>
        <v>0</v>
      </c>
      <c r="O171" s="14">
        <f t="shared" si="17"/>
        <v>0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spans="1:35" x14ac:dyDescent="0.3">
      <c r="A172" s="16"/>
      <c r="B172" s="16"/>
      <c r="C172" s="9" t="str">
        <f>IFERROR(INDEX('Employee Master'!$B$10:$B$109,MATCH(B172,'Employee Master'!$A$10:$A$109,0)),"")</f>
        <v/>
      </c>
      <c r="D172" s="9" t="str">
        <f>IFERROR(INDEX('Employee Master'!$H$10:$H$109,MATCH(B172,'Employee Master'!$A$10:$A$109,0)),"")</f>
        <v/>
      </c>
      <c r="E172" s="14">
        <f>IFERROR(INDEX('Employee Master'!$Q$10:$Q$109,MATCH(B172,'Employee Master'!$A$10:$A$109,0)),0)</f>
        <v>0</v>
      </c>
      <c r="F172" s="14">
        <f>IFERROR(INDEX('Employee Master'!$R$10:$R$109,MATCH(B172,'Employee Master'!$A$10:$A$109,0)),0)</f>
        <v>0</v>
      </c>
      <c r="G172" s="16"/>
      <c r="H172" s="16">
        <v>0</v>
      </c>
      <c r="I172" s="14">
        <f t="shared" si="15"/>
        <v>0</v>
      </c>
      <c r="J172" s="14">
        <f>SUMIFS('OT Tracker'!$G$10:$G$209,'OT Tracker'!$B$10:$B$209,B172)</f>
        <v>0</v>
      </c>
      <c r="K172" s="14">
        <v>0</v>
      </c>
      <c r="L172" s="14">
        <f>IFERROR(E172*Lists!$L$13*--(INDEX('Employee Master'!$S$10:$S$109,MATCH(B172,'Employee Master'!$A$10:$A$109,0))="Yes"),0)</f>
        <v>0</v>
      </c>
      <c r="M172" s="14">
        <f>IFERROR(F172*Lists!$L$14*--(INDEX('Employee Master'!$T$10:$T$109,MATCH(B172,'Employee Master'!$A$10:$A$109,0))="Yes"),0)</f>
        <v>0</v>
      </c>
      <c r="N172" s="14">
        <f t="shared" si="16"/>
        <v>0</v>
      </c>
      <c r="O172" s="14">
        <f t="shared" si="17"/>
        <v>0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spans="1:35" x14ac:dyDescent="0.3">
      <c r="A173" s="16"/>
      <c r="B173" s="16"/>
      <c r="C173" s="9" t="str">
        <f>IFERROR(INDEX('Employee Master'!$B$10:$B$109,MATCH(B173,'Employee Master'!$A$10:$A$109,0)),"")</f>
        <v/>
      </c>
      <c r="D173" s="9" t="str">
        <f>IFERROR(INDEX('Employee Master'!$H$10:$H$109,MATCH(B173,'Employee Master'!$A$10:$A$109,0)),"")</f>
        <v/>
      </c>
      <c r="E173" s="14">
        <f>IFERROR(INDEX('Employee Master'!$Q$10:$Q$109,MATCH(B173,'Employee Master'!$A$10:$A$109,0)),0)</f>
        <v>0</v>
      </c>
      <c r="F173" s="14">
        <f>IFERROR(INDEX('Employee Master'!$R$10:$R$109,MATCH(B173,'Employee Master'!$A$10:$A$109,0)),0)</f>
        <v>0</v>
      </c>
      <c r="G173" s="16"/>
      <c r="H173" s="16">
        <v>0</v>
      </c>
      <c r="I173" s="14">
        <f t="shared" si="15"/>
        <v>0</v>
      </c>
      <c r="J173" s="14">
        <f>SUMIFS('OT Tracker'!$G$10:$G$209,'OT Tracker'!$B$10:$B$209,B173)</f>
        <v>0</v>
      </c>
      <c r="K173" s="14">
        <v>0</v>
      </c>
      <c r="L173" s="14">
        <f>IFERROR(E173*Lists!$L$13*--(INDEX('Employee Master'!$S$10:$S$109,MATCH(B173,'Employee Master'!$A$10:$A$109,0))="Yes"),0)</f>
        <v>0</v>
      </c>
      <c r="M173" s="14">
        <f>IFERROR(F173*Lists!$L$14*--(INDEX('Employee Master'!$T$10:$T$109,MATCH(B173,'Employee Master'!$A$10:$A$109,0))="Yes"),0)</f>
        <v>0</v>
      </c>
      <c r="N173" s="14">
        <f t="shared" si="16"/>
        <v>0</v>
      </c>
      <c r="O173" s="14">
        <f t="shared" si="17"/>
        <v>0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spans="1:35" x14ac:dyDescent="0.3">
      <c r="A174" s="16"/>
      <c r="B174" s="16"/>
      <c r="C174" s="9" t="str">
        <f>IFERROR(INDEX('Employee Master'!$B$10:$B$109,MATCH(B174,'Employee Master'!$A$10:$A$109,0)),"")</f>
        <v/>
      </c>
      <c r="D174" s="9" t="str">
        <f>IFERROR(INDEX('Employee Master'!$H$10:$H$109,MATCH(B174,'Employee Master'!$A$10:$A$109,0)),"")</f>
        <v/>
      </c>
      <c r="E174" s="14">
        <f>IFERROR(INDEX('Employee Master'!$Q$10:$Q$109,MATCH(B174,'Employee Master'!$A$10:$A$109,0)),0)</f>
        <v>0</v>
      </c>
      <c r="F174" s="14">
        <f>IFERROR(INDEX('Employee Master'!$R$10:$R$109,MATCH(B174,'Employee Master'!$A$10:$A$109,0)),0)</f>
        <v>0</v>
      </c>
      <c r="G174" s="16"/>
      <c r="H174" s="16">
        <v>0</v>
      </c>
      <c r="I174" s="14">
        <f t="shared" si="15"/>
        <v>0</v>
      </c>
      <c r="J174" s="14">
        <f>SUMIFS('OT Tracker'!$G$10:$G$209,'OT Tracker'!$B$10:$B$209,B174)</f>
        <v>0</v>
      </c>
      <c r="K174" s="14">
        <v>0</v>
      </c>
      <c r="L174" s="14">
        <f>IFERROR(E174*Lists!$L$13*--(INDEX('Employee Master'!$S$10:$S$109,MATCH(B174,'Employee Master'!$A$10:$A$109,0))="Yes"),0)</f>
        <v>0</v>
      </c>
      <c r="M174" s="14">
        <f>IFERROR(F174*Lists!$L$14*--(INDEX('Employee Master'!$T$10:$T$109,MATCH(B174,'Employee Master'!$A$10:$A$109,0))="Yes"),0)</f>
        <v>0</v>
      </c>
      <c r="N174" s="14">
        <f t="shared" si="16"/>
        <v>0</v>
      </c>
      <c r="O174" s="14">
        <f t="shared" si="17"/>
        <v>0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spans="1:35" x14ac:dyDescent="0.3">
      <c r="A175" s="16"/>
      <c r="B175" s="16"/>
      <c r="C175" s="9" t="str">
        <f>IFERROR(INDEX('Employee Master'!$B$10:$B$109,MATCH(B175,'Employee Master'!$A$10:$A$109,0)),"")</f>
        <v/>
      </c>
      <c r="D175" s="9" t="str">
        <f>IFERROR(INDEX('Employee Master'!$H$10:$H$109,MATCH(B175,'Employee Master'!$A$10:$A$109,0)),"")</f>
        <v/>
      </c>
      <c r="E175" s="14">
        <f>IFERROR(INDEX('Employee Master'!$Q$10:$Q$109,MATCH(B175,'Employee Master'!$A$10:$A$109,0)),0)</f>
        <v>0</v>
      </c>
      <c r="F175" s="14">
        <f>IFERROR(INDEX('Employee Master'!$R$10:$R$109,MATCH(B175,'Employee Master'!$A$10:$A$109,0)),0)</f>
        <v>0</v>
      </c>
      <c r="G175" s="16"/>
      <c r="H175" s="16">
        <v>0</v>
      </c>
      <c r="I175" s="14">
        <f t="shared" si="15"/>
        <v>0</v>
      </c>
      <c r="J175" s="14">
        <f>SUMIFS('OT Tracker'!$G$10:$G$209,'OT Tracker'!$B$10:$B$209,B175)</f>
        <v>0</v>
      </c>
      <c r="K175" s="14">
        <v>0</v>
      </c>
      <c r="L175" s="14">
        <f>IFERROR(E175*Lists!$L$13*--(INDEX('Employee Master'!$S$10:$S$109,MATCH(B175,'Employee Master'!$A$10:$A$109,0))="Yes"),0)</f>
        <v>0</v>
      </c>
      <c r="M175" s="14">
        <f>IFERROR(F175*Lists!$L$14*--(INDEX('Employee Master'!$T$10:$T$109,MATCH(B175,'Employee Master'!$A$10:$A$109,0))="Yes"),0)</f>
        <v>0</v>
      </c>
      <c r="N175" s="14">
        <f t="shared" si="16"/>
        <v>0</v>
      </c>
      <c r="O175" s="14">
        <f t="shared" si="17"/>
        <v>0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spans="1:35" x14ac:dyDescent="0.3">
      <c r="A176" s="16"/>
      <c r="B176" s="16"/>
      <c r="C176" s="9" t="str">
        <f>IFERROR(INDEX('Employee Master'!$B$10:$B$109,MATCH(B176,'Employee Master'!$A$10:$A$109,0)),"")</f>
        <v/>
      </c>
      <c r="D176" s="9" t="str">
        <f>IFERROR(INDEX('Employee Master'!$H$10:$H$109,MATCH(B176,'Employee Master'!$A$10:$A$109,0)),"")</f>
        <v/>
      </c>
      <c r="E176" s="14">
        <f>IFERROR(INDEX('Employee Master'!$Q$10:$Q$109,MATCH(B176,'Employee Master'!$A$10:$A$109,0)),0)</f>
        <v>0</v>
      </c>
      <c r="F176" s="14">
        <f>IFERROR(INDEX('Employee Master'!$R$10:$R$109,MATCH(B176,'Employee Master'!$A$10:$A$109,0)),0)</f>
        <v>0</v>
      </c>
      <c r="G176" s="16"/>
      <c r="H176" s="16">
        <v>0</v>
      </c>
      <c r="I176" s="14">
        <f t="shared" si="15"/>
        <v>0</v>
      </c>
      <c r="J176" s="14">
        <f>SUMIFS('OT Tracker'!$G$10:$G$209,'OT Tracker'!$B$10:$B$209,B176)</f>
        <v>0</v>
      </c>
      <c r="K176" s="14">
        <v>0</v>
      </c>
      <c r="L176" s="14">
        <f>IFERROR(E176*Lists!$L$13*--(INDEX('Employee Master'!$S$10:$S$109,MATCH(B176,'Employee Master'!$A$10:$A$109,0))="Yes"),0)</f>
        <v>0</v>
      </c>
      <c r="M176" s="14">
        <f>IFERROR(F176*Lists!$L$14*--(INDEX('Employee Master'!$T$10:$T$109,MATCH(B176,'Employee Master'!$A$10:$A$109,0))="Yes"),0)</f>
        <v>0</v>
      </c>
      <c r="N176" s="14">
        <f t="shared" si="16"/>
        <v>0</v>
      </c>
      <c r="O176" s="14">
        <f t="shared" si="17"/>
        <v>0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spans="1:35" x14ac:dyDescent="0.3">
      <c r="A177" s="16"/>
      <c r="B177" s="16"/>
      <c r="C177" s="9" t="str">
        <f>IFERROR(INDEX('Employee Master'!$B$10:$B$109,MATCH(B177,'Employee Master'!$A$10:$A$109,0)),"")</f>
        <v/>
      </c>
      <c r="D177" s="9" t="str">
        <f>IFERROR(INDEX('Employee Master'!$H$10:$H$109,MATCH(B177,'Employee Master'!$A$10:$A$109,0)),"")</f>
        <v/>
      </c>
      <c r="E177" s="14">
        <f>IFERROR(INDEX('Employee Master'!$Q$10:$Q$109,MATCH(B177,'Employee Master'!$A$10:$A$109,0)),0)</f>
        <v>0</v>
      </c>
      <c r="F177" s="14">
        <f>IFERROR(INDEX('Employee Master'!$R$10:$R$109,MATCH(B177,'Employee Master'!$A$10:$A$109,0)),0)</f>
        <v>0</v>
      </c>
      <c r="G177" s="16"/>
      <c r="H177" s="16">
        <v>0</v>
      </c>
      <c r="I177" s="14">
        <f t="shared" si="15"/>
        <v>0</v>
      </c>
      <c r="J177" s="14">
        <f>SUMIFS('OT Tracker'!$G$10:$G$209,'OT Tracker'!$B$10:$B$209,B177)</f>
        <v>0</v>
      </c>
      <c r="K177" s="14">
        <v>0</v>
      </c>
      <c r="L177" s="14">
        <f>IFERROR(E177*Lists!$L$13*--(INDEX('Employee Master'!$S$10:$S$109,MATCH(B177,'Employee Master'!$A$10:$A$109,0))="Yes"),0)</f>
        <v>0</v>
      </c>
      <c r="M177" s="14">
        <f>IFERROR(F177*Lists!$L$14*--(INDEX('Employee Master'!$T$10:$T$109,MATCH(B177,'Employee Master'!$A$10:$A$109,0))="Yes"),0)</f>
        <v>0</v>
      </c>
      <c r="N177" s="14">
        <f t="shared" si="16"/>
        <v>0</v>
      </c>
      <c r="O177" s="14">
        <f t="shared" si="17"/>
        <v>0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spans="1:35" x14ac:dyDescent="0.3">
      <c r="A178" s="16"/>
      <c r="B178" s="16"/>
      <c r="C178" s="9" t="str">
        <f>IFERROR(INDEX('Employee Master'!$B$10:$B$109,MATCH(B178,'Employee Master'!$A$10:$A$109,0)),"")</f>
        <v/>
      </c>
      <c r="D178" s="9" t="str">
        <f>IFERROR(INDEX('Employee Master'!$H$10:$H$109,MATCH(B178,'Employee Master'!$A$10:$A$109,0)),"")</f>
        <v/>
      </c>
      <c r="E178" s="14">
        <f>IFERROR(INDEX('Employee Master'!$Q$10:$Q$109,MATCH(B178,'Employee Master'!$A$10:$A$109,0)),0)</f>
        <v>0</v>
      </c>
      <c r="F178" s="14">
        <f>IFERROR(INDEX('Employee Master'!$R$10:$R$109,MATCH(B178,'Employee Master'!$A$10:$A$109,0)),0)</f>
        <v>0</v>
      </c>
      <c r="G178" s="16"/>
      <c r="H178" s="16">
        <v>0</v>
      </c>
      <c r="I178" s="14">
        <f t="shared" si="15"/>
        <v>0</v>
      </c>
      <c r="J178" s="14">
        <f>SUMIFS('OT Tracker'!$G$10:$G$209,'OT Tracker'!$B$10:$B$209,B178)</f>
        <v>0</v>
      </c>
      <c r="K178" s="14">
        <v>0</v>
      </c>
      <c r="L178" s="14">
        <f>IFERROR(E178*Lists!$L$13*--(INDEX('Employee Master'!$S$10:$S$109,MATCH(B178,'Employee Master'!$A$10:$A$109,0))="Yes"),0)</f>
        <v>0</v>
      </c>
      <c r="M178" s="14">
        <f>IFERROR(F178*Lists!$L$14*--(INDEX('Employee Master'!$T$10:$T$109,MATCH(B178,'Employee Master'!$A$10:$A$109,0))="Yes"),0)</f>
        <v>0</v>
      </c>
      <c r="N178" s="14">
        <f t="shared" si="16"/>
        <v>0</v>
      </c>
      <c r="O178" s="14">
        <f t="shared" si="17"/>
        <v>0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spans="1:35" x14ac:dyDescent="0.3">
      <c r="A179" s="16"/>
      <c r="B179" s="16"/>
      <c r="C179" s="9" t="str">
        <f>IFERROR(INDEX('Employee Master'!$B$10:$B$109,MATCH(B179,'Employee Master'!$A$10:$A$109,0)),"")</f>
        <v/>
      </c>
      <c r="D179" s="9" t="str">
        <f>IFERROR(INDEX('Employee Master'!$H$10:$H$109,MATCH(B179,'Employee Master'!$A$10:$A$109,0)),"")</f>
        <v/>
      </c>
      <c r="E179" s="14">
        <f>IFERROR(INDEX('Employee Master'!$Q$10:$Q$109,MATCH(B179,'Employee Master'!$A$10:$A$109,0)),0)</f>
        <v>0</v>
      </c>
      <c r="F179" s="14">
        <f>IFERROR(INDEX('Employee Master'!$R$10:$R$109,MATCH(B179,'Employee Master'!$A$10:$A$109,0)),0)</f>
        <v>0</v>
      </c>
      <c r="G179" s="16"/>
      <c r="H179" s="16">
        <v>0</v>
      </c>
      <c r="I179" s="14">
        <f t="shared" si="15"/>
        <v>0</v>
      </c>
      <c r="J179" s="14">
        <f>SUMIFS('OT Tracker'!$G$10:$G$209,'OT Tracker'!$B$10:$B$209,B179)</f>
        <v>0</v>
      </c>
      <c r="K179" s="14">
        <v>0</v>
      </c>
      <c r="L179" s="14">
        <f>IFERROR(E179*Lists!$L$13*--(INDEX('Employee Master'!$S$10:$S$109,MATCH(B179,'Employee Master'!$A$10:$A$109,0))="Yes"),0)</f>
        <v>0</v>
      </c>
      <c r="M179" s="14">
        <f>IFERROR(F179*Lists!$L$14*--(INDEX('Employee Master'!$T$10:$T$109,MATCH(B179,'Employee Master'!$A$10:$A$109,0))="Yes"),0)</f>
        <v>0</v>
      </c>
      <c r="N179" s="14">
        <f t="shared" si="16"/>
        <v>0</v>
      </c>
      <c r="O179" s="14">
        <f t="shared" si="17"/>
        <v>0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spans="1:35" x14ac:dyDescent="0.3">
      <c r="A180" s="16"/>
      <c r="B180" s="16"/>
      <c r="C180" s="9" t="str">
        <f>IFERROR(INDEX('Employee Master'!$B$10:$B$109,MATCH(B180,'Employee Master'!$A$10:$A$109,0)),"")</f>
        <v/>
      </c>
      <c r="D180" s="9" t="str">
        <f>IFERROR(INDEX('Employee Master'!$H$10:$H$109,MATCH(B180,'Employee Master'!$A$10:$A$109,0)),"")</f>
        <v/>
      </c>
      <c r="E180" s="14">
        <f>IFERROR(INDEX('Employee Master'!$Q$10:$Q$109,MATCH(B180,'Employee Master'!$A$10:$A$109,0)),0)</f>
        <v>0</v>
      </c>
      <c r="F180" s="14">
        <f>IFERROR(INDEX('Employee Master'!$R$10:$R$109,MATCH(B180,'Employee Master'!$A$10:$A$109,0)),0)</f>
        <v>0</v>
      </c>
      <c r="G180" s="16"/>
      <c r="H180" s="16">
        <v>0</v>
      </c>
      <c r="I180" s="14">
        <f t="shared" si="15"/>
        <v>0</v>
      </c>
      <c r="J180" s="14">
        <f>SUMIFS('OT Tracker'!$G$10:$G$209,'OT Tracker'!$B$10:$B$209,B180)</f>
        <v>0</v>
      </c>
      <c r="K180" s="14">
        <v>0</v>
      </c>
      <c r="L180" s="14">
        <f>IFERROR(E180*Lists!$L$13*--(INDEX('Employee Master'!$S$10:$S$109,MATCH(B180,'Employee Master'!$A$10:$A$109,0))="Yes"),0)</f>
        <v>0</v>
      </c>
      <c r="M180" s="14">
        <f>IFERROR(F180*Lists!$L$14*--(INDEX('Employee Master'!$T$10:$T$109,MATCH(B180,'Employee Master'!$A$10:$A$109,0))="Yes"),0)</f>
        <v>0</v>
      </c>
      <c r="N180" s="14">
        <f t="shared" si="16"/>
        <v>0</v>
      </c>
      <c r="O180" s="14">
        <f t="shared" si="17"/>
        <v>0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spans="1:35" x14ac:dyDescent="0.3">
      <c r="A181" s="16"/>
      <c r="B181" s="16"/>
      <c r="C181" s="9" t="str">
        <f>IFERROR(INDEX('Employee Master'!$B$10:$B$109,MATCH(B181,'Employee Master'!$A$10:$A$109,0)),"")</f>
        <v/>
      </c>
      <c r="D181" s="9" t="str">
        <f>IFERROR(INDEX('Employee Master'!$H$10:$H$109,MATCH(B181,'Employee Master'!$A$10:$A$109,0)),"")</f>
        <v/>
      </c>
      <c r="E181" s="14">
        <f>IFERROR(INDEX('Employee Master'!$Q$10:$Q$109,MATCH(B181,'Employee Master'!$A$10:$A$109,0)),0)</f>
        <v>0</v>
      </c>
      <c r="F181" s="14">
        <f>IFERROR(INDEX('Employee Master'!$R$10:$R$109,MATCH(B181,'Employee Master'!$A$10:$A$109,0)),0)</f>
        <v>0</v>
      </c>
      <c r="G181" s="16"/>
      <c r="H181" s="16">
        <v>0</v>
      </c>
      <c r="I181" s="14">
        <f t="shared" si="15"/>
        <v>0</v>
      </c>
      <c r="J181" s="14">
        <f>SUMIFS('OT Tracker'!$G$10:$G$209,'OT Tracker'!$B$10:$B$209,B181)</f>
        <v>0</v>
      </c>
      <c r="K181" s="14">
        <v>0</v>
      </c>
      <c r="L181" s="14">
        <f>IFERROR(E181*Lists!$L$13*--(INDEX('Employee Master'!$S$10:$S$109,MATCH(B181,'Employee Master'!$A$10:$A$109,0))="Yes"),0)</f>
        <v>0</v>
      </c>
      <c r="M181" s="14">
        <f>IFERROR(F181*Lists!$L$14*--(INDEX('Employee Master'!$T$10:$T$109,MATCH(B181,'Employee Master'!$A$10:$A$109,0))="Yes"),0)</f>
        <v>0</v>
      </c>
      <c r="N181" s="14">
        <f t="shared" si="16"/>
        <v>0</v>
      </c>
      <c r="O181" s="14">
        <f t="shared" si="17"/>
        <v>0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spans="1:35" x14ac:dyDescent="0.3">
      <c r="A182" s="16"/>
      <c r="B182" s="16"/>
      <c r="C182" s="9" t="str">
        <f>IFERROR(INDEX('Employee Master'!$B$10:$B$109,MATCH(B182,'Employee Master'!$A$10:$A$109,0)),"")</f>
        <v/>
      </c>
      <c r="D182" s="9" t="str">
        <f>IFERROR(INDEX('Employee Master'!$H$10:$H$109,MATCH(B182,'Employee Master'!$A$10:$A$109,0)),"")</f>
        <v/>
      </c>
      <c r="E182" s="14">
        <f>IFERROR(INDEX('Employee Master'!$Q$10:$Q$109,MATCH(B182,'Employee Master'!$A$10:$A$109,0)),0)</f>
        <v>0</v>
      </c>
      <c r="F182" s="14">
        <f>IFERROR(INDEX('Employee Master'!$R$10:$R$109,MATCH(B182,'Employee Master'!$A$10:$A$109,0)),0)</f>
        <v>0</v>
      </c>
      <c r="G182" s="16"/>
      <c r="H182" s="16">
        <v>0</v>
      </c>
      <c r="I182" s="14">
        <f t="shared" si="15"/>
        <v>0</v>
      </c>
      <c r="J182" s="14">
        <f>SUMIFS('OT Tracker'!$G$10:$G$209,'OT Tracker'!$B$10:$B$209,B182)</f>
        <v>0</v>
      </c>
      <c r="K182" s="14">
        <v>0</v>
      </c>
      <c r="L182" s="14">
        <f>IFERROR(E182*Lists!$L$13*--(INDEX('Employee Master'!$S$10:$S$109,MATCH(B182,'Employee Master'!$A$10:$A$109,0))="Yes"),0)</f>
        <v>0</v>
      </c>
      <c r="M182" s="14">
        <f>IFERROR(F182*Lists!$L$14*--(INDEX('Employee Master'!$T$10:$T$109,MATCH(B182,'Employee Master'!$A$10:$A$109,0))="Yes"),0)</f>
        <v>0</v>
      </c>
      <c r="N182" s="14">
        <f t="shared" si="16"/>
        <v>0</v>
      </c>
      <c r="O182" s="14">
        <f t="shared" si="17"/>
        <v>0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spans="1:35" x14ac:dyDescent="0.3">
      <c r="A183" s="16"/>
      <c r="B183" s="16"/>
      <c r="C183" s="9" t="str">
        <f>IFERROR(INDEX('Employee Master'!$B$10:$B$109,MATCH(B183,'Employee Master'!$A$10:$A$109,0)),"")</f>
        <v/>
      </c>
      <c r="D183" s="9" t="str">
        <f>IFERROR(INDEX('Employee Master'!$H$10:$H$109,MATCH(B183,'Employee Master'!$A$10:$A$109,0)),"")</f>
        <v/>
      </c>
      <c r="E183" s="14">
        <f>IFERROR(INDEX('Employee Master'!$Q$10:$Q$109,MATCH(B183,'Employee Master'!$A$10:$A$109,0)),0)</f>
        <v>0</v>
      </c>
      <c r="F183" s="14">
        <f>IFERROR(INDEX('Employee Master'!$R$10:$R$109,MATCH(B183,'Employee Master'!$A$10:$A$109,0)),0)</f>
        <v>0</v>
      </c>
      <c r="G183" s="16"/>
      <c r="H183" s="16">
        <v>0</v>
      </c>
      <c r="I183" s="14">
        <f t="shared" si="15"/>
        <v>0</v>
      </c>
      <c r="J183" s="14">
        <f>SUMIFS('OT Tracker'!$G$10:$G$209,'OT Tracker'!$B$10:$B$209,B183)</f>
        <v>0</v>
      </c>
      <c r="K183" s="14">
        <v>0</v>
      </c>
      <c r="L183" s="14">
        <f>IFERROR(E183*Lists!$L$13*--(INDEX('Employee Master'!$S$10:$S$109,MATCH(B183,'Employee Master'!$A$10:$A$109,0))="Yes"),0)</f>
        <v>0</v>
      </c>
      <c r="M183" s="14">
        <f>IFERROR(F183*Lists!$L$14*--(INDEX('Employee Master'!$T$10:$T$109,MATCH(B183,'Employee Master'!$A$10:$A$109,0))="Yes"),0)</f>
        <v>0</v>
      </c>
      <c r="N183" s="14">
        <f t="shared" si="16"/>
        <v>0</v>
      </c>
      <c r="O183" s="14">
        <f t="shared" si="17"/>
        <v>0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spans="1:35" x14ac:dyDescent="0.3">
      <c r="A184" s="16"/>
      <c r="B184" s="16"/>
      <c r="C184" s="9" t="str">
        <f>IFERROR(INDEX('Employee Master'!$B$10:$B$109,MATCH(B184,'Employee Master'!$A$10:$A$109,0)),"")</f>
        <v/>
      </c>
      <c r="D184" s="9" t="str">
        <f>IFERROR(INDEX('Employee Master'!$H$10:$H$109,MATCH(B184,'Employee Master'!$A$10:$A$109,0)),"")</f>
        <v/>
      </c>
      <c r="E184" s="14">
        <f>IFERROR(INDEX('Employee Master'!$Q$10:$Q$109,MATCH(B184,'Employee Master'!$A$10:$A$109,0)),0)</f>
        <v>0</v>
      </c>
      <c r="F184" s="14">
        <f>IFERROR(INDEX('Employee Master'!$R$10:$R$109,MATCH(B184,'Employee Master'!$A$10:$A$109,0)),0)</f>
        <v>0</v>
      </c>
      <c r="G184" s="16"/>
      <c r="H184" s="16">
        <v>0</v>
      </c>
      <c r="I184" s="14">
        <f t="shared" si="15"/>
        <v>0</v>
      </c>
      <c r="J184" s="14">
        <f>SUMIFS('OT Tracker'!$G$10:$G$209,'OT Tracker'!$B$10:$B$209,B184)</f>
        <v>0</v>
      </c>
      <c r="K184" s="14">
        <v>0</v>
      </c>
      <c r="L184" s="14">
        <f>IFERROR(E184*Lists!$L$13*--(INDEX('Employee Master'!$S$10:$S$109,MATCH(B184,'Employee Master'!$A$10:$A$109,0))="Yes"),0)</f>
        <v>0</v>
      </c>
      <c r="M184" s="14">
        <f>IFERROR(F184*Lists!$L$14*--(INDEX('Employee Master'!$T$10:$T$109,MATCH(B184,'Employee Master'!$A$10:$A$109,0))="Yes"),0)</f>
        <v>0</v>
      </c>
      <c r="N184" s="14">
        <f t="shared" si="16"/>
        <v>0</v>
      </c>
      <c r="O184" s="14">
        <f t="shared" si="17"/>
        <v>0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spans="1:35" x14ac:dyDescent="0.3">
      <c r="A185" s="16"/>
      <c r="B185" s="16"/>
      <c r="C185" s="9" t="str">
        <f>IFERROR(INDEX('Employee Master'!$B$10:$B$109,MATCH(B185,'Employee Master'!$A$10:$A$109,0)),"")</f>
        <v/>
      </c>
      <c r="D185" s="9" t="str">
        <f>IFERROR(INDEX('Employee Master'!$H$10:$H$109,MATCH(B185,'Employee Master'!$A$10:$A$109,0)),"")</f>
        <v/>
      </c>
      <c r="E185" s="14">
        <f>IFERROR(INDEX('Employee Master'!$Q$10:$Q$109,MATCH(B185,'Employee Master'!$A$10:$A$109,0)),0)</f>
        <v>0</v>
      </c>
      <c r="F185" s="14">
        <f>IFERROR(INDEX('Employee Master'!$R$10:$R$109,MATCH(B185,'Employee Master'!$A$10:$A$109,0)),0)</f>
        <v>0</v>
      </c>
      <c r="G185" s="16"/>
      <c r="H185" s="16">
        <v>0</v>
      </c>
      <c r="I185" s="14">
        <f t="shared" si="15"/>
        <v>0</v>
      </c>
      <c r="J185" s="14">
        <f>SUMIFS('OT Tracker'!$G$10:$G$209,'OT Tracker'!$B$10:$B$209,B185)</f>
        <v>0</v>
      </c>
      <c r="K185" s="14">
        <v>0</v>
      </c>
      <c r="L185" s="14">
        <f>IFERROR(E185*Lists!$L$13*--(INDEX('Employee Master'!$S$10:$S$109,MATCH(B185,'Employee Master'!$A$10:$A$109,0))="Yes"),0)</f>
        <v>0</v>
      </c>
      <c r="M185" s="14">
        <f>IFERROR(F185*Lists!$L$14*--(INDEX('Employee Master'!$T$10:$T$109,MATCH(B185,'Employee Master'!$A$10:$A$109,0))="Yes"),0)</f>
        <v>0</v>
      </c>
      <c r="N185" s="14">
        <f t="shared" si="16"/>
        <v>0</v>
      </c>
      <c r="O185" s="14">
        <f t="shared" si="17"/>
        <v>0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spans="1:35" x14ac:dyDescent="0.3">
      <c r="A186" s="16"/>
      <c r="B186" s="16"/>
      <c r="C186" s="9" t="str">
        <f>IFERROR(INDEX('Employee Master'!$B$10:$B$109,MATCH(B186,'Employee Master'!$A$10:$A$109,0)),"")</f>
        <v/>
      </c>
      <c r="D186" s="9" t="str">
        <f>IFERROR(INDEX('Employee Master'!$H$10:$H$109,MATCH(B186,'Employee Master'!$A$10:$A$109,0)),"")</f>
        <v/>
      </c>
      <c r="E186" s="14">
        <f>IFERROR(INDEX('Employee Master'!$Q$10:$Q$109,MATCH(B186,'Employee Master'!$A$10:$A$109,0)),0)</f>
        <v>0</v>
      </c>
      <c r="F186" s="14">
        <f>IFERROR(INDEX('Employee Master'!$R$10:$R$109,MATCH(B186,'Employee Master'!$A$10:$A$109,0)),0)</f>
        <v>0</v>
      </c>
      <c r="G186" s="16"/>
      <c r="H186" s="16">
        <v>0</v>
      </c>
      <c r="I186" s="14">
        <f t="shared" si="15"/>
        <v>0</v>
      </c>
      <c r="J186" s="14">
        <f>SUMIFS('OT Tracker'!$G$10:$G$209,'OT Tracker'!$B$10:$B$209,B186)</f>
        <v>0</v>
      </c>
      <c r="K186" s="14">
        <v>0</v>
      </c>
      <c r="L186" s="14">
        <f>IFERROR(E186*Lists!$L$13*--(INDEX('Employee Master'!$S$10:$S$109,MATCH(B186,'Employee Master'!$A$10:$A$109,0))="Yes"),0)</f>
        <v>0</v>
      </c>
      <c r="M186" s="14">
        <f>IFERROR(F186*Lists!$L$14*--(INDEX('Employee Master'!$T$10:$T$109,MATCH(B186,'Employee Master'!$A$10:$A$109,0))="Yes"),0)</f>
        <v>0</v>
      </c>
      <c r="N186" s="14">
        <f t="shared" si="16"/>
        <v>0</v>
      </c>
      <c r="O186" s="14">
        <f t="shared" si="17"/>
        <v>0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spans="1:35" x14ac:dyDescent="0.3">
      <c r="A187" s="16"/>
      <c r="B187" s="16"/>
      <c r="C187" s="9" t="str">
        <f>IFERROR(INDEX('Employee Master'!$B$10:$B$109,MATCH(B187,'Employee Master'!$A$10:$A$109,0)),"")</f>
        <v/>
      </c>
      <c r="D187" s="9" t="str">
        <f>IFERROR(INDEX('Employee Master'!$H$10:$H$109,MATCH(B187,'Employee Master'!$A$10:$A$109,0)),"")</f>
        <v/>
      </c>
      <c r="E187" s="14">
        <f>IFERROR(INDEX('Employee Master'!$Q$10:$Q$109,MATCH(B187,'Employee Master'!$A$10:$A$109,0)),0)</f>
        <v>0</v>
      </c>
      <c r="F187" s="14">
        <f>IFERROR(INDEX('Employee Master'!$R$10:$R$109,MATCH(B187,'Employee Master'!$A$10:$A$109,0)),0)</f>
        <v>0</v>
      </c>
      <c r="G187" s="16"/>
      <c r="H187" s="16">
        <v>0</v>
      </c>
      <c r="I187" s="14">
        <f t="shared" si="15"/>
        <v>0</v>
      </c>
      <c r="J187" s="14">
        <f>SUMIFS('OT Tracker'!$G$10:$G$209,'OT Tracker'!$B$10:$B$209,B187)</f>
        <v>0</v>
      </c>
      <c r="K187" s="14">
        <v>0</v>
      </c>
      <c r="L187" s="14">
        <f>IFERROR(E187*Lists!$L$13*--(INDEX('Employee Master'!$S$10:$S$109,MATCH(B187,'Employee Master'!$A$10:$A$109,0))="Yes"),0)</f>
        <v>0</v>
      </c>
      <c r="M187" s="14">
        <f>IFERROR(F187*Lists!$L$14*--(INDEX('Employee Master'!$T$10:$T$109,MATCH(B187,'Employee Master'!$A$10:$A$109,0))="Yes"),0)</f>
        <v>0</v>
      </c>
      <c r="N187" s="14">
        <f t="shared" si="16"/>
        <v>0</v>
      </c>
      <c r="O187" s="14">
        <f t="shared" si="17"/>
        <v>0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spans="1:35" x14ac:dyDescent="0.3">
      <c r="A188" s="16"/>
      <c r="B188" s="16"/>
      <c r="C188" s="9" t="str">
        <f>IFERROR(INDEX('Employee Master'!$B$10:$B$109,MATCH(B188,'Employee Master'!$A$10:$A$109,0)),"")</f>
        <v/>
      </c>
      <c r="D188" s="9" t="str">
        <f>IFERROR(INDEX('Employee Master'!$H$10:$H$109,MATCH(B188,'Employee Master'!$A$10:$A$109,0)),"")</f>
        <v/>
      </c>
      <c r="E188" s="14">
        <f>IFERROR(INDEX('Employee Master'!$Q$10:$Q$109,MATCH(B188,'Employee Master'!$A$10:$A$109,0)),0)</f>
        <v>0</v>
      </c>
      <c r="F188" s="14">
        <f>IFERROR(INDEX('Employee Master'!$R$10:$R$109,MATCH(B188,'Employee Master'!$A$10:$A$109,0)),0)</f>
        <v>0</v>
      </c>
      <c r="G188" s="16"/>
      <c r="H188" s="16">
        <v>0</v>
      </c>
      <c r="I188" s="14">
        <f t="shared" si="15"/>
        <v>0</v>
      </c>
      <c r="J188" s="14">
        <f>SUMIFS('OT Tracker'!$G$10:$G$209,'OT Tracker'!$B$10:$B$209,B188)</f>
        <v>0</v>
      </c>
      <c r="K188" s="14">
        <v>0</v>
      </c>
      <c r="L188" s="14">
        <f>IFERROR(E188*Lists!$L$13*--(INDEX('Employee Master'!$S$10:$S$109,MATCH(B188,'Employee Master'!$A$10:$A$109,0))="Yes"),0)</f>
        <v>0</v>
      </c>
      <c r="M188" s="14">
        <f>IFERROR(F188*Lists!$L$14*--(INDEX('Employee Master'!$T$10:$T$109,MATCH(B188,'Employee Master'!$A$10:$A$109,0))="Yes"),0)</f>
        <v>0</v>
      </c>
      <c r="N188" s="14">
        <f t="shared" si="16"/>
        <v>0</v>
      </c>
      <c r="O188" s="14">
        <f t="shared" si="17"/>
        <v>0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spans="1:35" x14ac:dyDescent="0.3">
      <c r="A189" s="16"/>
      <c r="B189" s="16"/>
      <c r="C189" s="9" t="str">
        <f>IFERROR(INDEX('Employee Master'!$B$10:$B$109,MATCH(B189,'Employee Master'!$A$10:$A$109,0)),"")</f>
        <v/>
      </c>
      <c r="D189" s="9" t="str">
        <f>IFERROR(INDEX('Employee Master'!$H$10:$H$109,MATCH(B189,'Employee Master'!$A$10:$A$109,0)),"")</f>
        <v/>
      </c>
      <c r="E189" s="14">
        <f>IFERROR(INDEX('Employee Master'!$Q$10:$Q$109,MATCH(B189,'Employee Master'!$A$10:$A$109,0)),0)</f>
        <v>0</v>
      </c>
      <c r="F189" s="14">
        <f>IFERROR(INDEX('Employee Master'!$R$10:$R$109,MATCH(B189,'Employee Master'!$A$10:$A$109,0)),0)</f>
        <v>0</v>
      </c>
      <c r="G189" s="16"/>
      <c r="H189" s="16">
        <v>0</v>
      </c>
      <c r="I189" s="14">
        <f t="shared" si="15"/>
        <v>0</v>
      </c>
      <c r="J189" s="14">
        <f>SUMIFS('OT Tracker'!$G$10:$G$209,'OT Tracker'!$B$10:$B$209,B189)</f>
        <v>0</v>
      </c>
      <c r="K189" s="14">
        <v>0</v>
      </c>
      <c r="L189" s="14">
        <f>IFERROR(E189*Lists!$L$13*--(INDEX('Employee Master'!$S$10:$S$109,MATCH(B189,'Employee Master'!$A$10:$A$109,0))="Yes"),0)</f>
        <v>0</v>
      </c>
      <c r="M189" s="14">
        <f>IFERROR(F189*Lists!$L$14*--(INDEX('Employee Master'!$T$10:$T$109,MATCH(B189,'Employee Master'!$A$10:$A$109,0))="Yes"),0)</f>
        <v>0</v>
      </c>
      <c r="N189" s="14">
        <f t="shared" si="16"/>
        <v>0</v>
      </c>
      <c r="O189" s="14">
        <f t="shared" si="17"/>
        <v>0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spans="1:35" x14ac:dyDescent="0.3">
      <c r="A190" s="16"/>
      <c r="B190" s="16"/>
      <c r="C190" s="9" t="str">
        <f>IFERROR(INDEX('Employee Master'!$B$10:$B$109,MATCH(B190,'Employee Master'!$A$10:$A$109,0)),"")</f>
        <v/>
      </c>
      <c r="D190" s="9" t="str">
        <f>IFERROR(INDEX('Employee Master'!$H$10:$H$109,MATCH(B190,'Employee Master'!$A$10:$A$109,0)),"")</f>
        <v/>
      </c>
      <c r="E190" s="14">
        <f>IFERROR(INDEX('Employee Master'!$Q$10:$Q$109,MATCH(B190,'Employee Master'!$A$10:$A$109,0)),0)</f>
        <v>0</v>
      </c>
      <c r="F190" s="14">
        <f>IFERROR(INDEX('Employee Master'!$R$10:$R$109,MATCH(B190,'Employee Master'!$A$10:$A$109,0)),0)</f>
        <v>0</v>
      </c>
      <c r="G190" s="16"/>
      <c r="H190" s="16">
        <v>0</v>
      </c>
      <c r="I190" s="14">
        <f t="shared" si="15"/>
        <v>0</v>
      </c>
      <c r="J190" s="14">
        <f>SUMIFS('OT Tracker'!$G$10:$G$209,'OT Tracker'!$B$10:$B$209,B190)</f>
        <v>0</v>
      </c>
      <c r="K190" s="14">
        <v>0</v>
      </c>
      <c r="L190" s="14">
        <f>IFERROR(E190*Lists!$L$13*--(INDEX('Employee Master'!$S$10:$S$109,MATCH(B190,'Employee Master'!$A$10:$A$109,0))="Yes"),0)</f>
        <v>0</v>
      </c>
      <c r="M190" s="14">
        <f>IFERROR(F190*Lists!$L$14*--(INDEX('Employee Master'!$T$10:$T$109,MATCH(B190,'Employee Master'!$A$10:$A$109,0))="Yes"),0)</f>
        <v>0</v>
      </c>
      <c r="N190" s="14">
        <f t="shared" si="16"/>
        <v>0</v>
      </c>
      <c r="O190" s="14">
        <f t="shared" si="17"/>
        <v>0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spans="1:35" x14ac:dyDescent="0.3">
      <c r="A191" s="16"/>
      <c r="B191" s="16"/>
      <c r="C191" s="9" t="str">
        <f>IFERROR(INDEX('Employee Master'!$B$10:$B$109,MATCH(B191,'Employee Master'!$A$10:$A$109,0)),"")</f>
        <v/>
      </c>
      <c r="D191" s="9" t="str">
        <f>IFERROR(INDEX('Employee Master'!$H$10:$H$109,MATCH(B191,'Employee Master'!$A$10:$A$109,0)),"")</f>
        <v/>
      </c>
      <c r="E191" s="14">
        <f>IFERROR(INDEX('Employee Master'!$Q$10:$Q$109,MATCH(B191,'Employee Master'!$A$10:$A$109,0)),0)</f>
        <v>0</v>
      </c>
      <c r="F191" s="14">
        <f>IFERROR(INDEX('Employee Master'!$R$10:$R$109,MATCH(B191,'Employee Master'!$A$10:$A$109,0)),0)</f>
        <v>0</v>
      </c>
      <c r="G191" s="16"/>
      <c r="H191" s="16">
        <v>0</v>
      </c>
      <c r="I191" s="14">
        <f t="shared" si="15"/>
        <v>0</v>
      </c>
      <c r="J191" s="14">
        <f>SUMIFS('OT Tracker'!$G$10:$G$209,'OT Tracker'!$B$10:$B$209,B191)</f>
        <v>0</v>
      </c>
      <c r="K191" s="14">
        <v>0</v>
      </c>
      <c r="L191" s="14">
        <f>IFERROR(E191*Lists!$L$13*--(INDEX('Employee Master'!$S$10:$S$109,MATCH(B191,'Employee Master'!$A$10:$A$109,0))="Yes"),0)</f>
        <v>0</v>
      </c>
      <c r="M191" s="14">
        <f>IFERROR(F191*Lists!$L$14*--(INDEX('Employee Master'!$T$10:$T$109,MATCH(B191,'Employee Master'!$A$10:$A$109,0))="Yes"),0)</f>
        <v>0</v>
      </c>
      <c r="N191" s="14">
        <f t="shared" si="16"/>
        <v>0</v>
      </c>
      <c r="O191" s="14">
        <f t="shared" si="17"/>
        <v>0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spans="1:35" x14ac:dyDescent="0.3">
      <c r="A192" s="16"/>
      <c r="B192" s="16"/>
      <c r="C192" s="9" t="str">
        <f>IFERROR(INDEX('Employee Master'!$B$10:$B$109,MATCH(B192,'Employee Master'!$A$10:$A$109,0)),"")</f>
        <v/>
      </c>
      <c r="D192" s="9" t="str">
        <f>IFERROR(INDEX('Employee Master'!$H$10:$H$109,MATCH(B192,'Employee Master'!$A$10:$A$109,0)),"")</f>
        <v/>
      </c>
      <c r="E192" s="14">
        <f>IFERROR(INDEX('Employee Master'!$Q$10:$Q$109,MATCH(B192,'Employee Master'!$A$10:$A$109,0)),0)</f>
        <v>0</v>
      </c>
      <c r="F192" s="14">
        <f>IFERROR(INDEX('Employee Master'!$R$10:$R$109,MATCH(B192,'Employee Master'!$A$10:$A$109,0)),0)</f>
        <v>0</v>
      </c>
      <c r="G192" s="16"/>
      <c r="H192" s="16">
        <v>0</v>
      </c>
      <c r="I192" s="14">
        <f t="shared" si="15"/>
        <v>0</v>
      </c>
      <c r="J192" s="14">
        <f>SUMIFS('OT Tracker'!$G$10:$G$209,'OT Tracker'!$B$10:$B$209,B192)</f>
        <v>0</v>
      </c>
      <c r="K192" s="14">
        <v>0</v>
      </c>
      <c r="L192" s="14">
        <f>IFERROR(E192*Lists!$L$13*--(INDEX('Employee Master'!$S$10:$S$109,MATCH(B192,'Employee Master'!$A$10:$A$109,0))="Yes"),0)</f>
        <v>0</v>
      </c>
      <c r="M192" s="14">
        <f>IFERROR(F192*Lists!$L$14*--(INDEX('Employee Master'!$T$10:$T$109,MATCH(B192,'Employee Master'!$A$10:$A$109,0))="Yes"),0)</f>
        <v>0</v>
      </c>
      <c r="N192" s="14">
        <f t="shared" si="16"/>
        <v>0</v>
      </c>
      <c r="O192" s="14">
        <f t="shared" si="17"/>
        <v>0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spans="1:35" x14ac:dyDescent="0.3">
      <c r="A193" s="16"/>
      <c r="B193" s="16"/>
      <c r="C193" s="9" t="str">
        <f>IFERROR(INDEX('Employee Master'!$B$10:$B$109,MATCH(B193,'Employee Master'!$A$10:$A$109,0)),"")</f>
        <v/>
      </c>
      <c r="D193" s="9" t="str">
        <f>IFERROR(INDEX('Employee Master'!$H$10:$H$109,MATCH(B193,'Employee Master'!$A$10:$A$109,0)),"")</f>
        <v/>
      </c>
      <c r="E193" s="14">
        <f>IFERROR(INDEX('Employee Master'!$Q$10:$Q$109,MATCH(B193,'Employee Master'!$A$10:$A$109,0)),0)</f>
        <v>0</v>
      </c>
      <c r="F193" s="14">
        <f>IFERROR(INDEX('Employee Master'!$R$10:$R$109,MATCH(B193,'Employee Master'!$A$10:$A$109,0)),0)</f>
        <v>0</v>
      </c>
      <c r="G193" s="16"/>
      <c r="H193" s="16">
        <v>0</v>
      </c>
      <c r="I193" s="14">
        <f t="shared" si="15"/>
        <v>0</v>
      </c>
      <c r="J193" s="14">
        <f>SUMIFS('OT Tracker'!$G$10:$G$209,'OT Tracker'!$B$10:$B$209,B193)</f>
        <v>0</v>
      </c>
      <c r="K193" s="14">
        <v>0</v>
      </c>
      <c r="L193" s="14">
        <f>IFERROR(E193*Lists!$L$13*--(INDEX('Employee Master'!$S$10:$S$109,MATCH(B193,'Employee Master'!$A$10:$A$109,0))="Yes"),0)</f>
        <v>0</v>
      </c>
      <c r="M193" s="14">
        <f>IFERROR(F193*Lists!$L$14*--(INDEX('Employee Master'!$T$10:$T$109,MATCH(B193,'Employee Master'!$A$10:$A$109,0))="Yes"),0)</f>
        <v>0</v>
      </c>
      <c r="N193" s="14">
        <f t="shared" si="16"/>
        <v>0</v>
      </c>
      <c r="O193" s="14">
        <f t="shared" si="17"/>
        <v>0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spans="1:35" x14ac:dyDescent="0.3">
      <c r="A194" s="16"/>
      <c r="B194" s="16"/>
      <c r="C194" s="9" t="str">
        <f>IFERROR(INDEX('Employee Master'!$B$10:$B$109,MATCH(B194,'Employee Master'!$A$10:$A$109,0)),"")</f>
        <v/>
      </c>
      <c r="D194" s="9" t="str">
        <f>IFERROR(INDEX('Employee Master'!$H$10:$H$109,MATCH(B194,'Employee Master'!$A$10:$A$109,0)),"")</f>
        <v/>
      </c>
      <c r="E194" s="14">
        <f>IFERROR(INDEX('Employee Master'!$Q$10:$Q$109,MATCH(B194,'Employee Master'!$A$10:$A$109,0)),0)</f>
        <v>0</v>
      </c>
      <c r="F194" s="14">
        <f>IFERROR(INDEX('Employee Master'!$R$10:$R$109,MATCH(B194,'Employee Master'!$A$10:$A$109,0)),0)</f>
        <v>0</v>
      </c>
      <c r="G194" s="16"/>
      <c r="H194" s="16">
        <v>0</v>
      </c>
      <c r="I194" s="14">
        <f t="shared" si="15"/>
        <v>0</v>
      </c>
      <c r="J194" s="14">
        <f>SUMIFS('OT Tracker'!$G$10:$G$209,'OT Tracker'!$B$10:$B$209,B194)</f>
        <v>0</v>
      </c>
      <c r="K194" s="14">
        <v>0</v>
      </c>
      <c r="L194" s="14">
        <f>IFERROR(E194*Lists!$L$13*--(INDEX('Employee Master'!$S$10:$S$109,MATCH(B194,'Employee Master'!$A$10:$A$109,0))="Yes"),0)</f>
        <v>0</v>
      </c>
      <c r="M194" s="14">
        <f>IFERROR(F194*Lists!$L$14*--(INDEX('Employee Master'!$T$10:$T$109,MATCH(B194,'Employee Master'!$A$10:$A$109,0))="Yes"),0)</f>
        <v>0</v>
      </c>
      <c r="N194" s="14">
        <f t="shared" si="16"/>
        <v>0</v>
      </c>
      <c r="O194" s="14">
        <f t="shared" si="17"/>
        <v>0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spans="1:35" x14ac:dyDescent="0.3">
      <c r="A195" s="16"/>
      <c r="B195" s="16"/>
      <c r="C195" s="9" t="str">
        <f>IFERROR(INDEX('Employee Master'!$B$10:$B$109,MATCH(B195,'Employee Master'!$A$10:$A$109,0)),"")</f>
        <v/>
      </c>
      <c r="D195" s="9" t="str">
        <f>IFERROR(INDEX('Employee Master'!$H$10:$H$109,MATCH(B195,'Employee Master'!$A$10:$A$109,0)),"")</f>
        <v/>
      </c>
      <c r="E195" s="14">
        <f>IFERROR(INDEX('Employee Master'!$Q$10:$Q$109,MATCH(B195,'Employee Master'!$A$10:$A$109,0)),0)</f>
        <v>0</v>
      </c>
      <c r="F195" s="14">
        <f>IFERROR(INDEX('Employee Master'!$R$10:$R$109,MATCH(B195,'Employee Master'!$A$10:$A$109,0)),0)</f>
        <v>0</v>
      </c>
      <c r="G195" s="16"/>
      <c r="H195" s="16">
        <v>0</v>
      </c>
      <c r="I195" s="14">
        <f t="shared" si="15"/>
        <v>0</v>
      </c>
      <c r="J195" s="14">
        <f>SUMIFS('OT Tracker'!$G$10:$G$209,'OT Tracker'!$B$10:$B$209,B195)</f>
        <v>0</v>
      </c>
      <c r="K195" s="14">
        <v>0</v>
      </c>
      <c r="L195" s="14">
        <f>IFERROR(E195*Lists!$L$13*--(INDEX('Employee Master'!$S$10:$S$109,MATCH(B195,'Employee Master'!$A$10:$A$109,0))="Yes"),0)</f>
        <v>0</v>
      </c>
      <c r="M195" s="14">
        <f>IFERROR(F195*Lists!$L$14*--(INDEX('Employee Master'!$T$10:$T$109,MATCH(B195,'Employee Master'!$A$10:$A$109,0))="Yes"),0)</f>
        <v>0</v>
      </c>
      <c r="N195" s="14">
        <f t="shared" si="16"/>
        <v>0</v>
      </c>
      <c r="O195" s="14">
        <f t="shared" si="17"/>
        <v>0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spans="1:35" x14ac:dyDescent="0.3">
      <c r="A196" s="16"/>
      <c r="B196" s="16"/>
      <c r="C196" s="9" t="str">
        <f>IFERROR(INDEX('Employee Master'!$B$10:$B$109,MATCH(B196,'Employee Master'!$A$10:$A$109,0)),"")</f>
        <v/>
      </c>
      <c r="D196" s="9" t="str">
        <f>IFERROR(INDEX('Employee Master'!$H$10:$H$109,MATCH(B196,'Employee Master'!$A$10:$A$109,0)),"")</f>
        <v/>
      </c>
      <c r="E196" s="14">
        <f>IFERROR(INDEX('Employee Master'!$Q$10:$Q$109,MATCH(B196,'Employee Master'!$A$10:$A$109,0)),0)</f>
        <v>0</v>
      </c>
      <c r="F196" s="14">
        <f>IFERROR(INDEX('Employee Master'!$R$10:$R$109,MATCH(B196,'Employee Master'!$A$10:$A$109,0)),0)</f>
        <v>0</v>
      </c>
      <c r="G196" s="16"/>
      <c r="H196" s="16">
        <v>0</v>
      </c>
      <c r="I196" s="14">
        <f t="shared" si="15"/>
        <v>0</v>
      </c>
      <c r="J196" s="14">
        <f>SUMIFS('OT Tracker'!$G$10:$G$209,'OT Tracker'!$B$10:$B$209,B196)</f>
        <v>0</v>
      </c>
      <c r="K196" s="14">
        <v>0</v>
      </c>
      <c r="L196" s="14">
        <f>IFERROR(E196*Lists!$L$13*--(INDEX('Employee Master'!$S$10:$S$109,MATCH(B196,'Employee Master'!$A$10:$A$109,0))="Yes"),0)</f>
        <v>0</v>
      </c>
      <c r="M196" s="14">
        <f>IFERROR(F196*Lists!$L$14*--(INDEX('Employee Master'!$T$10:$T$109,MATCH(B196,'Employee Master'!$A$10:$A$109,0))="Yes"),0)</f>
        <v>0</v>
      </c>
      <c r="N196" s="14">
        <f t="shared" si="16"/>
        <v>0</v>
      </c>
      <c r="O196" s="14">
        <f t="shared" si="17"/>
        <v>0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spans="1:35" x14ac:dyDescent="0.3">
      <c r="A197" s="16"/>
      <c r="B197" s="16"/>
      <c r="C197" s="9" t="str">
        <f>IFERROR(INDEX('Employee Master'!$B$10:$B$109,MATCH(B197,'Employee Master'!$A$10:$A$109,0)),"")</f>
        <v/>
      </c>
      <c r="D197" s="9" t="str">
        <f>IFERROR(INDEX('Employee Master'!$H$10:$H$109,MATCH(B197,'Employee Master'!$A$10:$A$109,0)),"")</f>
        <v/>
      </c>
      <c r="E197" s="14">
        <f>IFERROR(INDEX('Employee Master'!$Q$10:$Q$109,MATCH(B197,'Employee Master'!$A$10:$A$109,0)),0)</f>
        <v>0</v>
      </c>
      <c r="F197" s="14">
        <f>IFERROR(INDEX('Employee Master'!$R$10:$R$109,MATCH(B197,'Employee Master'!$A$10:$A$109,0)),0)</f>
        <v>0</v>
      </c>
      <c r="G197" s="16"/>
      <c r="H197" s="16">
        <v>0</v>
      </c>
      <c r="I197" s="14">
        <f t="shared" si="15"/>
        <v>0</v>
      </c>
      <c r="J197" s="14">
        <f>SUMIFS('OT Tracker'!$G$10:$G$209,'OT Tracker'!$B$10:$B$209,B197)</f>
        <v>0</v>
      </c>
      <c r="K197" s="14">
        <v>0</v>
      </c>
      <c r="L197" s="14">
        <f>IFERROR(E197*Lists!$L$13*--(INDEX('Employee Master'!$S$10:$S$109,MATCH(B197,'Employee Master'!$A$10:$A$109,0))="Yes"),0)</f>
        <v>0</v>
      </c>
      <c r="M197" s="14">
        <f>IFERROR(F197*Lists!$L$14*--(INDEX('Employee Master'!$T$10:$T$109,MATCH(B197,'Employee Master'!$A$10:$A$109,0))="Yes"),0)</f>
        <v>0</v>
      </c>
      <c r="N197" s="14">
        <f t="shared" si="16"/>
        <v>0</v>
      </c>
      <c r="O197" s="14">
        <f t="shared" si="17"/>
        <v>0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spans="1:35" x14ac:dyDescent="0.3">
      <c r="A198" s="16"/>
      <c r="B198" s="16"/>
      <c r="C198" s="9" t="str">
        <f>IFERROR(INDEX('Employee Master'!$B$10:$B$109,MATCH(B198,'Employee Master'!$A$10:$A$109,0)),"")</f>
        <v/>
      </c>
      <c r="D198" s="9" t="str">
        <f>IFERROR(INDEX('Employee Master'!$H$10:$H$109,MATCH(B198,'Employee Master'!$A$10:$A$109,0)),"")</f>
        <v/>
      </c>
      <c r="E198" s="14">
        <f>IFERROR(INDEX('Employee Master'!$Q$10:$Q$109,MATCH(B198,'Employee Master'!$A$10:$A$109,0)),0)</f>
        <v>0</v>
      </c>
      <c r="F198" s="14">
        <f>IFERROR(INDEX('Employee Master'!$R$10:$R$109,MATCH(B198,'Employee Master'!$A$10:$A$109,0)),0)</f>
        <v>0</v>
      </c>
      <c r="G198" s="16"/>
      <c r="H198" s="16">
        <v>0</v>
      </c>
      <c r="I198" s="14">
        <f t="shared" si="15"/>
        <v>0</v>
      </c>
      <c r="J198" s="14">
        <f>SUMIFS('OT Tracker'!$G$10:$G$209,'OT Tracker'!$B$10:$B$209,B198)</f>
        <v>0</v>
      </c>
      <c r="K198" s="14">
        <v>0</v>
      </c>
      <c r="L198" s="14">
        <f>IFERROR(E198*Lists!$L$13*--(INDEX('Employee Master'!$S$10:$S$109,MATCH(B198,'Employee Master'!$A$10:$A$109,0))="Yes"),0)</f>
        <v>0</v>
      </c>
      <c r="M198" s="14">
        <f>IFERROR(F198*Lists!$L$14*--(INDEX('Employee Master'!$T$10:$T$109,MATCH(B198,'Employee Master'!$A$10:$A$109,0))="Yes"),0)</f>
        <v>0</v>
      </c>
      <c r="N198" s="14">
        <f t="shared" si="16"/>
        <v>0</v>
      </c>
      <c r="O198" s="14">
        <f t="shared" si="17"/>
        <v>0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spans="1:35" x14ac:dyDescent="0.3">
      <c r="A199" s="16"/>
      <c r="B199" s="16"/>
      <c r="C199" s="9" t="str">
        <f>IFERROR(INDEX('Employee Master'!$B$10:$B$109,MATCH(B199,'Employee Master'!$A$10:$A$109,0)),"")</f>
        <v/>
      </c>
      <c r="D199" s="9" t="str">
        <f>IFERROR(INDEX('Employee Master'!$H$10:$H$109,MATCH(B199,'Employee Master'!$A$10:$A$109,0)),"")</f>
        <v/>
      </c>
      <c r="E199" s="14">
        <f>IFERROR(INDEX('Employee Master'!$Q$10:$Q$109,MATCH(B199,'Employee Master'!$A$10:$A$109,0)),0)</f>
        <v>0</v>
      </c>
      <c r="F199" s="14">
        <f>IFERROR(INDEX('Employee Master'!$R$10:$R$109,MATCH(B199,'Employee Master'!$A$10:$A$109,0)),0)</f>
        <v>0</v>
      </c>
      <c r="G199" s="16"/>
      <c r="H199" s="16">
        <v>0</v>
      </c>
      <c r="I199" s="14">
        <f t="shared" si="15"/>
        <v>0</v>
      </c>
      <c r="J199" s="14">
        <f>SUMIFS('OT Tracker'!$G$10:$G$209,'OT Tracker'!$B$10:$B$209,B199)</f>
        <v>0</v>
      </c>
      <c r="K199" s="14">
        <v>0</v>
      </c>
      <c r="L199" s="14">
        <f>IFERROR(E199*Lists!$L$13*--(INDEX('Employee Master'!$S$10:$S$109,MATCH(B199,'Employee Master'!$A$10:$A$109,0))="Yes"),0)</f>
        <v>0</v>
      </c>
      <c r="M199" s="14">
        <f>IFERROR(F199*Lists!$L$14*--(INDEX('Employee Master'!$T$10:$T$109,MATCH(B199,'Employee Master'!$A$10:$A$109,0))="Yes"),0)</f>
        <v>0</v>
      </c>
      <c r="N199" s="14">
        <f t="shared" si="16"/>
        <v>0</v>
      </c>
      <c r="O199" s="14">
        <f t="shared" si="17"/>
        <v>0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spans="1:35" x14ac:dyDescent="0.3">
      <c r="A200" s="16"/>
      <c r="B200" s="16"/>
      <c r="C200" s="9" t="str">
        <f>IFERROR(INDEX('Employee Master'!$B$10:$B$109,MATCH(B200,'Employee Master'!$A$10:$A$109,0)),"")</f>
        <v/>
      </c>
      <c r="D200" s="9" t="str">
        <f>IFERROR(INDEX('Employee Master'!$H$10:$H$109,MATCH(B200,'Employee Master'!$A$10:$A$109,0)),"")</f>
        <v/>
      </c>
      <c r="E200" s="14">
        <f>IFERROR(INDEX('Employee Master'!$Q$10:$Q$109,MATCH(B200,'Employee Master'!$A$10:$A$109,0)),0)</f>
        <v>0</v>
      </c>
      <c r="F200" s="14">
        <f>IFERROR(INDEX('Employee Master'!$R$10:$R$109,MATCH(B200,'Employee Master'!$A$10:$A$109,0)),0)</f>
        <v>0</v>
      </c>
      <c r="G200" s="16"/>
      <c r="H200" s="16">
        <v>0</v>
      </c>
      <c r="I200" s="14">
        <f t="shared" si="15"/>
        <v>0</v>
      </c>
      <c r="J200" s="14">
        <f>SUMIFS('OT Tracker'!$G$10:$G$209,'OT Tracker'!$B$10:$B$209,B200)</f>
        <v>0</v>
      </c>
      <c r="K200" s="14">
        <v>0</v>
      </c>
      <c r="L200" s="14">
        <f>IFERROR(E200*Lists!$L$13*--(INDEX('Employee Master'!$S$10:$S$109,MATCH(B200,'Employee Master'!$A$10:$A$109,0))="Yes"),0)</f>
        <v>0</v>
      </c>
      <c r="M200" s="14">
        <f>IFERROR(F200*Lists!$L$14*--(INDEX('Employee Master'!$T$10:$T$109,MATCH(B200,'Employee Master'!$A$10:$A$109,0))="Yes"),0)</f>
        <v>0</v>
      </c>
      <c r="N200" s="14">
        <f t="shared" si="16"/>
        <v>0</v>
      </c>
      <c r="O200" s="14">
        <f t="shared" si="17"/>
        <v>0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spans="1:35" x14ac:dyDescent="0.3">
      <c r="A201" s="16"/>
      <c r="B201" s="16"/>
      <c r="C201" s="9" t="str">
        <f>IFERROR(INDEX('Employee Master'!$B$10:$B$109,MATCH(B201,'Employee Master'!$A$10:$A$109,0)),"")</f>
        <v/>
      </c>
      <c r="D201" s="9" t="str">
        <f>IFERROR(INDEX('Employee Master'!$H$10:$H$109,MATCH(B201,'Employee Master'!$A$10:$A$109,0)),"")</f>
        <v/>
      </c>
      <c r="E201" s="14">
        <f>IFERROR(INDEX('Employee Master'!$Q$10:$Q$109,MATCH(B201,'Employee Master'!$A$10:$A$109,0)),0)</f>
        <v>0</v>
      </c>
      <c r="F201" s="14">
        <f>IFERROR(INDEX('Employee Master'!$R$10:$R$109,MATCH(B201,'Employee Master'!$A$10:$A$109,0)),0)</f>
        <v>0</v>
      </c>
      <c r="G201" s="16"/>
      <c r="H201" s="16">
        <v>0</v>
      </c>
      <c r="I201" s="14">
        <f t="shared" si="15"/>
        <v>0</v>
      </c>
      <c r="J201" s="14">
        <f>SUMIFS('OT Tracker'!$G$10:$G$209,'OT Tracker'!$B$10:$B$209,B201)</f>
        <v>0</v>
      </c>
      <c r="K201" s="14">
        <v>0</v>
      </c>
      <c r="L201" s="14">
        <f>IFERROR(E201*Lists!$L$13*--(INDEX('Employee Master'!$S$10:$S$109,MATCH(B201,'Employee Master'!$A$10:$A$109,0))="Yes"),0)</f>
        <v>0</v>
      </c>
      <c r="M201" s="14">
        <f>IFERROR(F201*Lists!$L$14*--(INDEX('Employee Master'!$T$10:$T$109,MATCH(B201,'Employee Master'!$A$10:$A$109,0))="Yes"),0)</f>
        <v>0</v>
      </c>
      <c r="N201" s="14">
        <f t="shared" si="16"/>
        <v>0</v>
      </c>
      <c r="O201" s="14">
        <f t="shared" si="17"/>
        <v>0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spans="1:35" x14ac:dyDescent="0.3">
      <c r="A202" s="16"/>
      <c r="B202" s="16"/>
      <c r="C202" s="9" t="str">
        <f>IFERROR(INDEX('Employee Master'!$B$10:$B$109,MATCH(B202,'Employee Master'!$A$10:$A$109,0)),"")</f>
        <v/>
      </c>
      <c r="D202" s="9" t="str">
        <f>IFERROR(INDEX('Employee Master'!$H$10:$H$109,MATCH(B202,'Employee Master'!$A$10:$A$109,0)),"")</f>
        <v/>
      </c>
      <c r="E202" s="14">
        <f>IFERROR(INDEX('Employee Master'!$Q$10:$Q$109,MATCH(B202,'Employee Master'!$A$10:$A$109,0)),0)</f>
        <v>0</v>
      </c>
      <c r="F202" s="14">
        <f>IFERROR(INDEX('Employee Master'!$R$10:$R$109,MATCH(B202,'Employee Master'!$A$10:$A$109,0)),0)</f>
        <v>0</v>
      </c>
      <c r="G202" s="16"/>
      <c r="H202" s="16">
        <v>0</v>
      </c>
      <c r="I202" s="14">
        <f t="shared" ref="I202:I209" si="18">IFERROR(F202/30*H202,0)</f>
        <v>0</v>
      </c>
      <c r="J202" s="14">
        <f>SUMIFS('OT Tracker'!$G$10:$G$209,'OT Tracker'!$B$10:$B$209,B202)</f>
        <v>0</v>
      </c>
      <c r="K202" s="14">
        <v>0</v>
      </c>
      <c r="L202" s="14">
        <f>IFERROR(E202*Lists!$L$13*--(INDEX('Employee Master'!$S$10:$S$109,MATCH(B202,'Employee Master'!$A$10:$A$109,0))="Yes"),0)</f>
        <v>0</v>
      </c>
      <c r="M202" s="14">
        <f>IFERROR(F202*Lists!$L$14*--(INDEX('Employee Master'!$T$10:$T$109,MATCH(B202,'Employee Master'!$A$10:$A$109,0))="Yes"),0)</f>
        <v>0</v>
      </c>
      <c r="N202" s="14">
        <f t="shared" ref="N202:N209" si="19">I202+K202+L202+M202</f>
        <v>0</v>
      </c>
      <c r="O202" s="14">
        <f t="shared" ref="O202:O209" si="20">F202+J202-N202</f>
        <v>0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spans="1:35" x14ac:dyDescent="0.3">
      <c r="A203" s="16"/>
      <c r="B203" s="16"/>
      <c r="C203" s="9" t="str">
        <f>IFERROR(INDEX('Employee Master'!$B$10:$B$109,MATCH(B203,'Employee Master'!$A$10:$A$109,0)),"")</f>
        <v/>
      </c>
      <c r="D203" s="9" t="str">
        <f>IFERROR(INDEX('Employee Master'!$H$10:$H$109,MATCH(B203,'Employee Master'!$A$10:$A$109,0)),"")</f>
        <v/>
      </c>
      <c r="E203" s="14">
        <f>IFERROR(INDEX('Employee Master'!$Q$10:$Q$109,MATCH(B203,'Employee Master'!$A$10:$A$109,0)),0)</f>
        <v>0</v>
      </c>
      <c r="F203" s="14">
        <f>IFERROR(INDEX('Employee Master'!$R$10:$R$109,MATCH(B203,'Employee Master'!$A$10:$A$109,0)),0)</f>
        <v>0</v>
      </c>
      <c r="G203" s="16"/>
      <c r="H203" s="16">
        <v>0</v>
      </c>
      <c r="I203" s="14">
        <f t="shared" si="18"/>
        <v>0</v>
      </c>
      <c r="J203" s="14">
        <f>SUMIFS('OT Tracker'!$G$10:$G$209,'OT Tracker'!$B$10:$B$209,B203)</f>
        <v>0</v>
      </c>
      <c r="K203" s="14">
        <v>0</v>
      </c>
      <c r="L203" s="14">
        <f>IFERROR(E203*Lists!$L$13*--(INDEX('Employee Master'!$S$10:$S$109,MATCH(B203,'Employee Master'!$A$10:$A$109,0))="Yes"),0)</f>
        <v>0</v>
      </c>
      <c r="M203" s="14">
        <f>IFERROR(F203*Lists!$L$14*--(INDEX('Employee Master'!$T$10:$T$109,MATCH(B203,'Employee Master'!$A$10:$A$109,0))="Yes"),0)</f>
        <v>0</v>
      </c>
      <c r="N203" s="14">
        <f t="shared" si="19"/>
        <v>0</v>
      </c>
      <c r="O203" s="14">
        <f t="shared" si="20"/>
        <v>0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spans="1:35" x14ac:dyDescent="0.3">
      <c r="A204" s="16"/>
      <c r="B204" s="16"/>
      <c r="C204" s="9" t="str">
        <f>IFERROR(INDEX('Employee Master'!$B$10:$B$109,MATCH(B204,'Employee Master'!$A$10:$A$109,0)),"")</f>
        <v/>
      </c>
      <c r="D204" s="9" t="str">
        <f>IFERROR(INDEX('Employee Master'!$H$10:$H$109,MATCH(B204,'Employee Master'!$A$10:$A$109,0)),"")</f>
        <v/>
      </c>
      <c r="E204" s="14">
        <f>IFERROR(INDEX('Employee Master'!$Q$10:$Q$109,MATCH(B204,'Employee Master'!$A$10:$A$109,0)),0)</f>
        <v>0</v>
      </c>
      <c r="F204" s="14">
        <f>IFERROR(INDEX('Employee Master'!$R$10:$R$109,MATCH(B204,'Employee Master'!$A$10:$A$109,0)),0)</f>
        <v>0</v>
      </c>
      <c r="G204" s="16"/>
      <c r="H204" s="16">
        <v>0</v>
      </c>
      <c r="I204" s="14">
        <f t="shared" si="18"/>
        <v>0</v>
      </c>
      <c r="J204" s="14">
        <f>SUMIFS('OT Tracker'!$G$10:$G$209,'OT Tracker'!$B$10:$B$209,B204)</f>
        <v>0</v>
      </c>
      <c r="K204" s="14">
        <v>0</v>
      </c>
      <c r="L204" s="14">
        <f>IFERROR(E204*Lists!$L$13*--(INDEX('Employee Master'!$S$10:$S$109,MATCH(B204,'Employee Master'!$A$10:$A$109,0))="Yes"),0)</f>
        <v>0</v>
      </c>
      <c r="M204" s="14">
        <f>IFERROR(F204*Lists!$L$14*--(INDEX('Employee Master'!$T$10:$T$109,MATCH(B204,'Employee Master'!$A$10:$A$109,0))="Yes"),0)</f>
        <v>0</v>
      </c>
      <c r="N204" s="14">
        <f t="shared" si="19"/>
        <v>0</v>
      </c>
      <c r="O204" s="14">
        <f t="shared" si="20"/>
        <v>0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spans="1:35" x14ac:dyDescent="0.3">
      <c r="A205" s="16"/>
      <c r="B205" s="16"/>
      <c r="C205" s="9" t="str">
        <f>IFERROR(INDEX('Employee Master'!$B$10:$B$109,MATCH(B205,'Employee Master'!$A$10:$A$109,0)),"")</f>
        <v/>
      </c>
      <c r="D205" s="9" t="str">
        <f>IFERROR(INDEX('Employee Master'!$H$10:$H$109,MATCH(B205,'Employee Master'!$A$10:$A$109,0)),"")</f>
        <v/>
      </c>
      <c r="E205" s="14">
        <f>IFERROR(INDEX('Employee Master'!$Q$10:$Q$109,MATCH(B205,'Employee Master'!$A$10:$A$109,0)),0)</f>
        <v>0</v>
      </c>
      <c r="F205" s="14">
        <f>IFERROR(INDEX('Employee Master'!$R$10:$R$109,MATCH(B205,'Employee Master'!$A$10:$A$109,0)),0)</f>
        <v>0</v>
      </c>
      <c r="G205" s="16"/>
      <c r="H205" s="16">
        <v>0</v>
      </c>
      <c r="I205" s="14">
        <f t="shared" si="18"/>
        <v>0</v>
      </c>
      <c r="J205" s="14">
        <f>SUMIFS('OT Tracker'!$G$10:$G$209,'OT Tracker'!$B$10:$B$209,B205)</f>
        <v>0</v>
      </c>
      <c r="K205" s="14">
        <v>0</v>
      </c>
      <c r="L205" s="14">
        <f>IFERROR(E205*Lists!$L$13*--(INDEX('Employee Master'!$S$10:$S$109,MATCH(B205,'Employee Master'!$A$10:$A$109,0))="Yes"),0)</f>
        <v>0</v>
      </c>
      <c r="M205" s="14">
        <f>IFERROR(F205*Lists!$L$14*--(INDEX('Employee Master'!$T$10:$T$109,MATCH(B205,'Employee Master'!$A$10:$A$109,0))="Yes"),0)</f>
        <v>0</v>
      </c>
      <c r="N205" s="14">
        <f t="shared" si="19"/>
        <v>0</v>
      </c>
      <c r="O205" s="14">
        <f t="shared" si="20"/>
        <v>0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spans="1:35" x14ac:dyDescent="0.3">
      <c r="A206" s="16"/>
      <c r="B206" s="16"/>
      <c r="C206" s="9" t="str">
        <f>IFERROR(INDEX('Employee Master'!$B$10:$B$109,MATCH(B206,'Employee Master'!$A$10:$A$109,0)),"")</f>
        <v/>
      </c>
      <c r="D206" s="9" t="str">
        <f>IFERROR(INDEX('Employee Master'!$H$10:$H$109,MATCH(B206,'Employee Master'!$A$10:$A$109,0)),"")</f>
        <v/>
      </c>
      <c r="E206" s="14">
        <f>IFERROR(INDEX('Employee Master'!$Q$10:$Q$109,MATCH(B206,'Employee Master'!$A$10:$A$109,0)),0)</f>
        <v>0</v>
      </c>
      <c r="F206" s="14">
        <f>IFERROR(INDEX('Employee Master'!$R$10:$R$109,MATCH(B206,'Employee Master'!$A$10:$A$109,0)),0)</f>
        <v>0</v>
      </c>
      <c r="G206" s="16"/>
      <c r="H206" s="16">
        <v>0</v>
      </c>
      <c r="I206" s="14">
        <f t="shared" si="18"/>
        <v>0</v>
      </c>
      <c r="J206" s="14">
        <f>SUMIFS('OT Tracker'!$G$10:$G$209,'OT Tracker'!$B$10:$B$209,B206)</f>
        <v>0</v>
      </c>
      <c r="K206" s="14">
        <v>0</v>
      </c>
      <c r="L206" s="14">
        <f>IFERROR(E206*Lists!$L$13*--(INDEX('Employee Master'!$S$10:$S$109,MATCH(B206,'Employee Master'!$A$10:$A$109,0))="Yes"),0)</f>
        <v>0</v>
      </c>
      <c r="M206" s="14">
        <f>IFERROR(F206*Lists!$L$14*--(INDEX('Employee Master'!$T$10:$T$109,MATCH(B206,'Employee Master'!$A$10:$A$109,0))="Yes"),0)</f>
        <v>0</v>
      </c>
      <c r="N206" s="14">
        <f t="shared" si="19"/>
        <v>0</v>
      </c>
      <c r="O206" s="14">
        <f t="shared" si="20"/>
        <v>0</v>
      </c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spans="1:35" x14ac:dyDescent="0.3">
      <c r="A207" s="16"/>
      <c r="B207" s="16"/>
      <c r="C207" s="9" t="str">
        <f>IFERROR(INDEX('Employee Master'!$B$10:$B$109,MATCH(B207,'Employee Master'!$A$10:$A$109,0)),"")</f>
        <v/>
      </c>
      <c r="D207" s="9" t="str">
        <f>IFERROR(INDEX('Employee Master'!$H$10:$H$109,MATCH(B207,'Employee Master'!$A$10:$A$109,0)),"")</f>
        <v/>
      </c>
      <c r="E207" s="14">
        <f>IFERROR(INDEX('Employee Master'!$Q$10:$Q$109,MATCH(B207,'Employee Master'!$A$10:$A$109,0)),0)</f>
        <v>0</v>
      </c>
      <c r="F207" s="14">
        <f>IFERROR(INDEX('Employee Master'!$R$10:$R$109,MATCH(B207,'Employee Master'!$A$10:$A$109,0)),0)</f>
        <v>0</v>
      </c>
      <c r="G207" s="16"/>
      <c r="H207" s="16">
        <v>0</v>
      </c>
      <c r="I207" s="14">
        <f t="shared" si="18"/>
        <v>0</v>
      </c>
      <c r="J207" s="14">
        <f>SUMIFS('OT Tracker'!$G$10:$G$209,'OT Tracker'!$B$10:$B$209,B207)</f>
        <v>0</v>
      </c>
      <c r="K207" s="14">
        <v>0</v>
      </c>
      <c r="L207" s="14">
        <f>IFERROR(E207*Lists!$L$13*--(INDEX('Employee Master'!$S$10:$S$109,MATCH(B207,'Employee Master'!$A$10:$A$109,0))="Yes"),0)</f>
        <v>0</v>
      </c>
      <c r="M207" s="14">
        <f>IFERROR(F207*Lists!$L$14*--(INDEX('Employee Master'!$T$10:$T$109,MATCH(B207,'Employee Master'!$A$10:$A$109,0))="Yes"),0)</f>
        <v>0</v>
      </c>
      <c r="N207" s="14">
        <f t="shared" si="19"/>
        <v>0</v>
      </c>
      <c r="O207" s="14">
        <f t="shared" si="20"/>
        <v>0</v>
      </c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spans="1:35" x14ac:dyDescent="0.3">
      <c r="A208" s="16"/>
      <c r="B208" s="16"/>
      <c r="C208" s="9" t="str">
        <f>IFERROR(INDEX('Employee Master'!$B$10:$B$109,MATCH(B208,'Employee Master'!$A$10:$A$109,0)),"")</f>
        <v/>
      </c>
      <c r="D208" s="9" t="str">
        <f>IFERROR(INDEX('Employee Master'!$H$10:$H$109,MATCH(B208,'Employee Master'!$A$10:$A$109,0)),"")</f>
        <v/>
      </c>
      <c r="E208" s="14">
        <f>IFERROR(INDEX('Employee Master'!$Q$10:$Q$109,MATCH(B208,'Employee Master'!$A$10:$A$109,0)),0)</f>
        <v>0</v>
      </c>
      <c r="F208" s="14">
        <f>IFERROR(INDEX('Employee Master'!$R$10:$R$109,MATCH(B208,'Employee Master'!$A$10:$A$109,0)),0)</f>
        <v>0</v>
      </c>
      <c r="G208" s="16"/>
      <c r="H208" s="16">
        <v>0</v>
      </c>
      <c r="I208" s="14">
        <f t="shared" si="18"/>
        <v>0</v>
      </c>
      <c r="J208" s="14">
        <f>SUMIFS('OT Tracker'!$G$10:$G$209,'OT Tracker'!$B$10:$B$209,B208)</f>
        <v>0</v>
      </c>
      <c r="K208" s="14">
        <v>0</v>
      </c>
      <c r="L208" s="14">
        <f>IFERROR(E208*Lists!$L$13*--(INDEX('Employee Master'!$S$10:$S$109,MATCH(B208,'Employee Master'!$A$10:$A$109,0))="Yes"),0)</f>
        <v>0</v>
      </c>
      <c r="M208" s="14">
        <f>IFERROR(F208*Lists!$L$14*--(INDEX('Employee Master'!$T$10:$T$109,MATCH(B208,'Employee Master'!$A$10:$A$109,0))="Yes"),0)</f>
        <v>0</v>
      </c>
      <c r="N208" s="14">
        <f t="shared" si="19"/>
        <v>0</v>
      </c>
      <c r="O208" s="14">
        <f t="shared" si="20"/>
        <v>0</v>
      </c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spans="1:35" x14ac:dyDescent="0.3">
      <c r="A209" s="16"/>
      <c r="B209" s="16"/>
      <c r="C209" s="9" t="str">
        <f>IFERROR(INDEX('Employee Master'!$B$10:$B$109,MATCH(B209,'Employee Master'!$A$10:$A$109,0)),"")</f>
        <v/>
      </c>
      <c r="D209" s="9" t="str">
        <f>IFERROR(INDEX('Employee Master'!$H$10:$H$109,MATCH(B209,'Employee Master'!$A$10:$A$109,0)),"")</f>
        <v/>
      </c>
      <c r="E209" s="14">
        <f>IFERROR(INDEX('Employee Master'!$Q$10:$Q$109,MATCH(B209,'Employee Master'!$A$10:$A$109,0)),0)</f>
        <v>0</v>
      </c>
      <c r="F209" s="14">
        <f>IFERROR(INDEX('Employee Master'!$R$10:$R$109,MATCH(B209,'Employee Master'!$A$10:$A$109,0)),0)</f>
        <v>0</v>
      </c>
      <c r="G209" s="16"/>
      <c r="H209" s="16">
        <v>0</v>
      </c>
      <c r="I209" s="14">
        <f t="shared" si="18"/>
        <v>0</v>
      </c>
      <c r="J209" s="14">
        <f>SUMIFS('OT Tracker'!$G$10:$G$209,'OT Tracker'!$B$10:$B$209,B209)</f>
        <v>0</v>
      </c>
      <c r="K209" s="14">
        <v>0</v>
      </c>
      <c r="L209" s="14">
        <f>IFERROR(E209*Lists!$L$13*--(INDEX('Employee Master'!$S$10:$S$109,MATCH(B209,'Employee Master'!$A$10:$A$109,0))="Yes"),0)</f>
        <v>0</v>
      </c>
      <c r="M209" s="14">
        <f>IFERROR(F209*Lists!$L$14*--(INDEX('Employee Master'!$T$10:$T$109,MATCH(B209,'Employee Master'!$A$10:$A$109,0))="Yes"),0)</f>
        <v>0</v>
      </c>
      <c r="N209" s="14">
        <f t="shared" si="19"/>
        <v>0</v>
      </c>
      <c r="O209" s="14">
        <f t="shared" si="20"/>
        <v>0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spans="1:35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spans="1:35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</sheetData>
  <mergeCells count="13">
    <mergeCell ref="E6:G6"/>
    <mergeCell ref="E7:G7"/>
    <mergeCell ref="B6:C6"/>
    <mergeCell ref="B7:C7"/>
    <mergeCell ref="A1:O1"/>
    <mergeCell ref="A2:O2"/>
    <mergeCell ref="E5:G5"/>
    <mergeCell ref="B5:C5"/>
    <mergeCell ref="M5:O5"/>
    <mergeCell ref="M6:O6"/>
    <mergeCell ref="M7:O7"/>
    <mergeCell ref="I6:K7"/>
    <mergeCell ref="I5:K5"/>
  </mergeCells>
  <phoneticPr fontId="32" type="noConversion"/>
  <conditionalFormatting sqref="A10:O209">
    <cfRule type="expression" dxfId="2" priority="2">
      <formula>MOD(ROW(),2)=0</formula>
    </cfRule>
  </conditionalFormatting>
  <conditionalFormatting sqref="H10:H209">
    <cfRule type="cellIs" dxfId="1" priority="3" operator="greaterThan">
      <formula>0</formula>
    </cfRule>
  </conditionalFormatting>
  <conditionalFormatting sqref="O10:O209">
    <cfRule type="expression" dxfId="0" priority="4">
      <formula>O10&lt;&gt;""</formula>
    </cfRule>
  </conditionalFormatting>
  <hyperlinks>
    <hyperlink ref="A3" location="'HR Command Center'!A1" display=" HOME " xr:uid="{00000000-0004-0000-0800-000000000000}"/>
    <hyperlink ref="B3" location="'Employee Master'!A1" display=" PEOPLE " xr:uid="{00000000-0004-0000-0800-000001000000}"/>
    <hyperlink ref="C3" location="'Attendance'!A1" display=" ATTEND. " xr:uid="{00000000-0004-0000-0800-000002000000}"/>
    <hyperlink ref="D3" location="'Leave Tracker'!A1" display=" LEAVE " xr:uid="{00000000-0004-0000-0800-000003000000}"/>
    <hyperlink ref="F3" location="'Document Tracker'!A1" display=" DOCS " xr:uid="{00000000-0004-0000-0800-000004000000}"/>
    <hyperlink ref="G3" location="'Compliance Center'!A1" display=" COMPLY " xr:uid="{00000000-0004-0000-0800-000005000000}"/>
    <hyperlink ref="H3" location="'Analytics &amp; Reports'!A1" display=" ANALYTICS " xr:uid="{00000000-0004-0000-0800-000006000000}"/>
    <hyperlink ref="I3" location="'Management Dashboard'!A1" display=" MGMT " xr:uid="{00000000-0004-0000-0800-000007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800-000000000000}">
          <x14:formula1>
            <xm:f>Lists!$I$10:$I$21</xm:f>
          </x14:formula1>
          <x14:formula2>
            <xm:f>0</xm:f>
          </x14:formula2>
          <xm:sqref>A10:A209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4"/>
  <sheetViews>
    <sheetView showGridLines="0" zoomScaleNormal="100" workbookViewId="0">
      <selection activeCell="B17" sqref="B17:H18"/>
    </sheetView>
  </sheetViews>
  <sheetFormatPr defaultColWidth="8.6640625" defaultRowHeight="14.4" x14ac:dyDescent="0.3"/>
  <cols>
    <col min="1" max="1" width="16" customWidth="1"/>
    <col min="2" max="8" width="13" customWidth="1"/>
  </cols>
  <sheetData>
    <row r="1" spans="1:9" ht="33.75" customHeight="1" x14ac:dyDescent="0.3">
      <c r="A1" s="26" t="s">
        <v>271</v>
      </c>
      <c r="B1" s="26"/>
      <c r="C1" s="26"/>
      <c r="D1" s="26"/>
      <c r="E1" s="26"/>
      <c r="F1" s="26"/>
      <c r="G1" s="26"/>
      <c r="H1" s="26"/>
      <c r="I1" s="26"/>
    </row>
    <row r="2" spans="1:9" ht="15.75" customHeight="1" x14ac:dyDescent="0.3">
      <c r="A2" s="27" t="s">
        <v>272</v>
      </c>
      <c r="B2" s="27"/>
      <c r="C2" s="27"/>
      <c r="D2" s="27"/>
      <c r="E2" s="27"/>
      <c r="F2" s="27"/>
      <c r="G2" s="27"/>
      <c r="H2" s="27"/>
      <c r="I2" s="27"/>
    </row>
    <row r="3" spans="1:9" ht="19.5" customHeight="1" x14ac:dyDescent="0.3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 x14ac:dyDescent="0.3">
      <c r="A4" s="4"/>
      <c r="B4" s="4"/>
      <c r="C4" s="4"/>
      <c r="D4" s="4"/>
      <c r="E4" s="4"/>
      <c r="F4" s="4"/>
      <c r="G4" s="4"/>
      <c r="H4" s="4"/>
      <c r="I4" s="4"/>
    </row>
    <row r="5" spans="1:9" ht="15" customHeight="1" x14ac:dyDescent="0.3">
      <c r="A5" s="108" t="s">
        <v>273</v>
      </c>
      <c r="B5" s="109" t="s">
        <v>274</v>
      </c>
      <c r="C5" s="109"/>
      <c r="D5" s="109"/>
      <c r="E5" s="109"/>
      <c r="F5" s="109"/>
      <c r="G5" s="109"/>
      <c r="H5" s="109"/>
      <c r="I5" s="4"/>
    </row>
    <row r="6" spans="1:9" ht="30" customHeight="1" x14ac:dyDescent="0.3">
      <c r="A6" s="108"/>
      <c r="B6" s="108"/>
      <c r="C6" s="109"/>
      <c r="D6" s="109"/>
      <c r="E6" s="109"/>
      <c r="F6" s="109"/>
      <c r="G6" s="109"/>
      <c r="H6" s="109"/>
      <c r="I6" s="4"/>
    </row>
    <row r="7" spans="1:9" ht="15" customHeight="1" x14ac:dyDescent="0.3">
      <c r="A7" s="108" t="s">
        <v>275</v>
      </c>
      <c r="B7" s="109" t="s">
        <v>276</v>
      </c>
      <c r="C7" s="109"/>
      <c r="D7" s="109"/>
      <c r="E7" s="109"/>
      <c r="F7" s="109"/>
      <c r="G7" s="109"/>
      <c r="H7" s="109"/>
      <c r="I7" s="4"/>
    </row>
    <row r="8" spans="1:9" ht="30" customHeight="1" x14ac:dyDescent="0.3">
      <c r="A8" s="108"/>
      <c r="B8" s="108"/>
      <c r="C8" s="109"/>
      <c r="D8" s="109"/>
      <c r="E8" s="109"/>
      <c r="F8" s="109"/>
      <c r="G8" s="109"/>
      <c r="H8" s="109"/>
      <c r="I8" s="4"/>
    </row>
    <row r="9" spans="1:9" ht="15" customHeight="1" x14ac:dyDescent="0.3">
      <c r="A9" s="108" t="s">
        <v>277</v>
      </c>
      <c r="B9" s="109" t="s">
        <v>278</v>
      </c>
      <c r="C9" s="109"/>
      <c r="D9" s="109"/>
      <c r="E9" s="109"/>
      <c r="F9" s="109"/>
      <c r="G9" s="109"/>
      <c r="H9" s="109"/>
      <c r="I9" s="4"/>
    </row>
    <row r="10" spans="1:9" ht="30" customHeight="1" x14ac:dyDescent="0.3">
      <c r="A10" s="108"/>
      <c r="B10" s="108"/>
      <c r="C10" s="109"/>
      <c r="D10" s="109"/>
      <c r="E10" s="109"/>
      <c r="F10" s="109"/>
      <c r="G10" s="109"/>
      <c r="H10" s="109"/>
      <c r="I10" s="4"/>
    </row>
    <row r="11" spans="1:9" ht="15" customHeight="1" x14ac:dyDescent="0.3">
      <c r="A11" s="108" t="s">
        <v>279</v>
      </c>
      <c r="B11" s="109" t="s">
        <v>280</v>
      </c>
      <c r="C11" s="109"/>
      <c r="D11" s="109"/>
      <c r="E11" s="109"/>
      <c r="F11" s="109"/>
      <c r="G11" s="109"/>
      <c r="H11" s="109"/>
      <c r="I11" s="4"/>
    </row>
    <row r="12" spans="1:9" ht="30" customHeight="1" x14ac:dyDescent="0.3">
      <c r="A12" s="108"/>
      <c r="B12" s="108"/>
      <c r="C12" s="109"/>
      <c r="D12" s="109"/>
      <c r="E12" s="109"/>
      <c r="F12" s="109"/>
      <c r="G12" s="109"/>
      <c r="H12" s="109"/>
      <c r="I12" s="4"/>
    </row>
    <row r="13" spans="1:9" ht="15" customHeight="1" x14ac:dyDescent="0.3">
      <c r="A13" s="108" t="s">
        <v>281</v>
      </c>
      <c r="B13" s="109" t="s">
        <v>282</v>
      </c>
      <c r="C13" s="109"/>
      <c r="D13" s="109"/>
      <c r="E13" s="109"/>
      <c r="F13" s="109"/>
      <c r="G13" s="109"/>
      <c r="H13" s="109"/>
      <c r="I13" s="4"/>
    </row>
    <row r="14" spans="1:9" ht="30" customHeight="1" x14ac:dyDescent="0.3">
      <c r="A14" s="108"/>
      <c r="B14" s="108"/>
      <c r="C14" s="109"/>
      <c r="D14" s="109"/>
      <c r="E14" s="109"/>
      <c r="F14" s="109"/>
      <c r="G14" s="109"/>
      <c r="H14" s="109"/>
      <c r="I14" s="4"/>
    </row>
    <row r="15" spans="1:9" ht="15" customHeight="1" x14ac:dyDescent="0.3">
      <c r="A15" s="108" t="s">
        <v>283</v>
      </c>
      <c r="B15" s="109" t="s">
        <v>284</v>
      </c>
      <c r="C15" s="109"/>
      <c r="D15" s="109"/>
      <c r="E15" s="109"/>
      <c r="F15" s="109"/>
      <c r="G15" s="109"/>
      <c r="H15" s="109"/>
      <c r="I15" s="4"/>
    </row>
    <row r="16" spans="1:9" ht="30" customHeight="1" x14ac:dyDescent="0.3">
      <c r="A16" s="108"/>
      <c r="B16" s="108"/>
      <c r="C16" s="109"/>
      <c r="D16" s="109"/>
      <c r="E16" s="109"/>
      <c r="F16" s="109"/>
      <c r="G16" s="109"/>
      <c r="H16" s="109"/>
      <c r="I16" s="4"/>
    </row>
    <row r="17" spans="1:9" ht="15" customHeight="1" x14ac:dyDescent="0.3">
      <c r="A17" s="108" t="s">
        <v>285</v>
      </c>
      <c r="B17" s="109" t="s">
        <v>286</v>
      </c>
      <c r="C17" s="109"/>
      <c r="D17" s="109"/>
      <c r="E17" s="109"/>
      <c r="F17" s="109"/>
      <c r="G17" s="109"/>
      <c r="H17" s="109"/>
      <c r="I17" s="4"/>
    </row>
    <row r="18" spans="1:9" ht="30" customHeight="1" x14ac:dyDescent="0.3">
      <c r="A18" s="108"/>
      <c r="B18" s="108"/>
      <c r="C18" s="109"/>
      <c r="D18" s="109"/>
      <c r="E18" s="109"/>
      <c r="F18" s="109"/>
      <c r="G18" s="109"/>
      <c r="H18" s="109"/>
      <c r="I18" s="4"/>
    </row>
    <row r="19" spans="1:9" x14ac:dyDescent="0.3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</sheetData>
  <mergeCells count="16">
    <mergeCell ref="A15:A16"/>
    <mergeCell ref="B15:H16"/>
    <mergeCell ref="A17:A18"/>
    <mergeCell ref="B17:H18"/>
    <mergeCell ref="A9:A10"/>
    <mergeCell ref="B9:H10"/>
    <mergeCell ref="A11:A12"/>
    <mergeCell ref="B11:H12"/>
    <mergeCell ref="A13:A14"/>
    <mergeCell ref="B13:H14"/>
    <mergeCell ref="A1:I1"/>
    <mergeCell ref="A2:I2"/>
    <mergeCell ref="A5:A6"/>
    <mergeCell ref="B5:H6"/>
    <mergeCell ref="A7:A8"/>
    <mergeCell ref="B7:H8"/>
  </mergeCells>
  <hyperlinks>
    <hyperlink ref="B3" location="'Employee Master'!A1" display=" PEOPLE " xr:uid="{00000000-0004-0000-0900-000000000000}"/>
    <hyperlink ref="C3" location="'Attendance'!A1" display=" ATTEND. " xr:uid="{00000000-0004-0000-0900-000001000000}"/>
    <hyperlink ref="D3" location="'Leave Tracker'!A1" display=" LEAVE " xr:uid="{00000000-0004-0000-0900-000002000000}"/>
    <hyperlink ref="E3" location="'Payroll'!A1" display=" PAYROLL " xr:uid="{00000000-0004-0000-0900-000003000000}"/>
    <hyperlink ref="F3" location="'Document Tracker'!A1" display=" DOCS " xr:uid="{00000000-0004-0000-0900-000004000000}"/>
    <hyperlink ref="G3" location="'Compliance Center'!A1" display=" COMPLY " xr:uid="{00000000-0004-0000-0900-000005000000}"/>
    <hyperlink ref="H3" location="'Analytics &amp; Reports'!A1" display=" ANALYTICS " xr:uid="{00000000-0004-0000-0900-000006000000}"/>
    <hyperlink ref="I3" location="'Management Dashboard'!A1" display=" MGMT " xr:uid="{00000000-0004-0000-0900-000007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HR Command Center</vt:lpstr>
      <vt:lpstr>Lists</vt:lpstr>
      <vt:lpstr>Employee Master</vt:lpstr>
      <vt:lpstr>Attendance</vt:lpstr>
      <vt:lpstr>Leave Tracker</vt:lpstr>
      <vt:lpstr>OT Tracker</vt:lpstr>
      <vt:lpstr>Document Tracker</vt:lpstr>
      <vt:lpstr>Expiry Tracker</vt:lpstr>
      <vt:lpstr>Payroll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JEEVA M</cp:lastModifiedBy>
  <cp:revision>1</cp:revision>
  <dcterms:created xsi:type="dcterms:W3CDTF">2026-08-29T13:32:45Z</dcterms:created>
  <dcterms:modified xsi:type="dcterms:W3CDTF">2026-08-31T13:40:13Z</dcterms:modified>
  <dc:language>en-US</dc:language>
</cp:coreProperties>
</file>